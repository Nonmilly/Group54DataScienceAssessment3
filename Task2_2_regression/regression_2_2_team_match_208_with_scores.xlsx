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nis\Regression2.2\"/>
    </mc:Choice>
  </mc:AlternateContent>
  <xr:revisionPtr revIDLastSave="0" documentId="13_ncr:1_{69B22429-17AA-4402-8183-9D7CDFC3A95A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Team_Match_208" sheetId="1" r:id="rId1"/>
    <sheet name="Read_Me" sheetId="2" r:id="rId2"/>
    <sheet name="Original_104_Matches" sheetId="3" r:id="rId3"/>
    <sheet name="Parsed_Source_Results" sheetId="4" r:id="rId4"/>
    <sheet name="Model_Ready_208" sheetId="5" r:id="rId5"/>
    <sheet name="Squad_Player_Data" sheetId="6" r:id="rId6"/>
    <sheet name="Squad_Team_Summary" sheetId="7" r:id="rId7"/>
    <sheet name="Squad_Method_Notes" sheetId="8" r:id="rId8"/>
  </sheets>
  <definedNames>
    <definedName name="_xlnm._FilterDatabase" localSheetId="4" hidden="1">Model_Ready_208!$A$1:$N$209</definedName>
    <definedName name="_xlnm._FilterDatabase" localSheetId="2" hidden="1">Original_104_Matches!$A$1:$M$105</definedName>
    <definedName name="_xlnm._FilterDatabase" localSheetId="3" hidden="1">Parsed_Source_Results!$A$1:$E$105</definedName>
    <definedName name="_xlnm._FilterDatabase" localSheetId="1" hidden="1">Read_Me!$A$1:$A$5</definedName>
    <definedName name="_xlnm._FilterDatabase" localSheetId="7" hidden="1">Squad_Method_Notes!$A$1:$A$10</definedName>
    <definedName name="_xlnm._FilterDatabase" localSheetId="5" hidden="1">Squad_Player_Data!$A$1:$L$1248</definedName>
    <definedName name="_xlnm._FilterDatabase" localSheetId="6" hidden="1">Squad_Team_Summary!$A$1:$H$49</definedName>
    <definedName name="_xlnm._FilterDatabase" localSheetId="0" hidden="1">Team_Match_208!$A$1:$R$209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" i="1"/>
</calcChain>
</file>

<file path=xl/sharedStrings.xml><?xml version="1.0" encoding="utf-8"?>
<sst xmlns="http://schemas.openxmlformats.org/spreadsheetml/2006/main" count="12341" uniqueCount="3046">
  <si>
    <t>MatchID</t>
  </si>
  <si>
    <t>Date</t>
  </si>
  <si>
    <t>Team</t>
  </si>
  <si>
    <t>Opponent</t>
  </si>
  <si>
    <t>TeamSide</t>
  </si>
  <si>
    <t>GoalScored</t>
  </si>
  <si>
    <t>RankPointsDiff_TeamVsOpponent</t>
  </si>
  <si>
    <t>HostAdvantage_TeamVsOpponent</t>
  </si>
  <si>
    <t>FormGoalsForDiff_TeamVsOpponent</t>
  </si>
  <si>
    <t>FormGoalsAgstDiff_TeamVsOpponent</t>
  </si>
  <si>
    <t>FormPointsDiff_TeamVsOpponent</t>
  </si>
  <si>
    <t>SquadAgeDiff_TeamVsOpponent</t>
  </si>
  <si>
    <t>RestDaysDiff_TeamVsOpponent</t>
  </si>
  <si>
    <t>StrongConfedDiff_TeamVsOpponent</t>
  </si>
  <si>
    <t>2026-06-11</t>
  </si>
  <si>
    <t>Mexico</t>
  </si>
  <si>
    <t>South Africa</t>
  </si>
  <si>
    <t>Home</t>
  </si>
  <si>
    <t>Away</t>
  </si>
  <si>
    <t>2026-06-12</t>
  </si>
  <si>
    <t>Korea Republic</t>
  </si>
  <si>
    <t>Czechia</t>
  </si>
  <si>
    <t>Canada</t>
  </si>
  <si>
    <t>Bosnia and Herzegovina</t>
  </si>
  <si>
    <t>2026-06-13</t>
  </si>
  <si>
    <t>USA</t>
  </si>
  <si>
    <t>Paraguay</t>
  </si>
  <si>
    <t>Qatar</t>
  </si>
  <si>
    <t>Switzerland</t>
  </si>
  <si>
    <t>Brazil</t>
  </si>
  <si>
    <t>Morocco</t>
  </si>
  <si>
    <t>2026-06-14</t>
  </si>
  <si>
    <t>Haiti</t>
  </si>
  <si>
    <t>Scotland</t>
  </si>
  <si>
    <t>Australia</t>
  </si>
  <si>
    <t>Türkiye</t>
  </si>
  <si>
    <t>Germany</t>
  </si>
  <si>
    <t>Curaçao</t>
  </si>
  <si>
    <t>Netherlands</t>
  </si>
  <si>
    <t>Japan</t>
  </si>
  <si>
    <t>Côte d'Ivoire</t>
  </si>
  <si>
    <t>Ecuador</t>
  </si>
  <si>
    <t>2026-06-15</t>
  </si>
  <si>
    <t>Sweden</t>
  </si>
  <si>
    <t>Tunisia</t>
  </si>
  <si>
    <t>Spain</t>
  </si>
  <si>
    <t>Cabo Verde</t>
  </si>
  <si>
    <t>Belgium</t>
  </si>
  <si>
    <t>Egypt</t>
  </si>
  <si>
    <t>Saudi Arabia</t>
  </si>
  <si>
    <t>Uruguay</t>
  </si>
  <si>
    <t>2026-06-16</t>
  </si>
  <si>
    <t>IR Iran</t>
  </si>
  <si>
    <t>New Zealand</t>
  </si>
  <si>
    <t>France</t>
  </si>
  <si>
    <t>Senegal</t>
  </si>
  <si>
    <t>Iraq</t>
  </si>
  <si>
    <t>Norway</t>
  </si>
  <si>
    <t>2026-06-17</t>
  </si>
  <si>
    <t>Argentina</t>
  </si>
  <si>
    <t>Algeria</t>
  </si>
  <si>
    <t>Austria</t>
  </si>
  <si>
    <t>Jordan</t>
  </si>
  <si>
    <t>Portugal</t>
  </si>
  <si>
    <t>Congo DR</t>
  </si>
  <si>
    <t>England</t>
  </si>
  <si>
    <t>Croatia</t>
  </si>
  <si>
    <t>Ghana</t>
  </si>
  <si>
    <t>Panama</t>
  </si>
  <si>
    <t>2026-06-18</t>
  </si>
  <si>
    <t>Uzbekistan</t>
  </si>
  <si>
    <t>Colombia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</si>
  <si>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</si>
  <si>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</si>
  <si>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</si>
  <si>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</si>
  <si>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</si>
  <si>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</si>
  <si>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</si>
  <si>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</si>
  <si>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</si>
  <si>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</si>
  <si>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</si>
  <si>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</si>
  <si>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</si>
  <si>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</si>
  <si>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</si>
  <si>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</si>
  <si>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</si>
  <si>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</si>
  <si>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</si>
  <si>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2026-07-09</t>
  </si>
  <si>
    <t>2026-07-10</t>
  </si>
  <si>
    <t>2026-07-11</t>
  </si>
  <si>
    <t>2026-07-12</t>
  </si>
  <si>
    <t>2026-07-14</t>
  </si>
  <si>
    <t>2026-07-15</t>
  </si>
  <si>
    <t>2026-07-18</t>
  </si>
  <si>
    <t>2026-07-19</t>
  </si>
  <si>
    <t>Note</t>
  </si>
  <si>
    <t>GoalScored was populated from the uploaded FIFA results text.</t>
  </si>
  <si>
    <t>Scores are goals at the end of play, including extra time where shown; penalty shootout scores are excluded.</t>
  </si>
  <si>
    <t>Match results were matched to Original_104_Matches by the unordered team pair.</t>
  </si>
  <si>
    <t>Please verify source provenance against the official FIFA page before final submission.</t>
  </si>
  <si>
    <t>HomeTeam</t>
  </si>
  <si>
    <t>AwayTeam</t>
  </si>
  <si>
    <t>RankPointsDiff</t>
  </si>
  <si>
    <t>HostAdvantage</t>
  </si>
  <si>
    <t>FormGoalsForDiff</t>
  </si>
  <si>
    <t>FormGoalsAgstDiff</t>
  </si>
  <si>
    <t>FormPointsDiff</t>
  </si>
  <si>
    <t>SquadAgeDiff</t>
  </si>
  <si>
    <t>RestDaysDiff</t>
  </si>
  <si>
    <t>StrongConfedDiff</t>
  </si>
  <si>
    <t>GoalDiff</t>
  </si>
  <si>
    <t>SourceMatchNo</t>
  </si>
  <si>
    <t>SourceHome</t>
  </si>
  <si>
    <t>SourceAway</t>
  </si>
  <si>
    <t>HomeGoals</t>
  </si>
  <si>
    <t>AwayGoals</t>
  </si>
  <si>
    <t>Côte d’Ivoire</t>
  </si>
  <si>
    <t>SquadAvgCapsDiff_TeamVsOpponent</t>
  </si>
  <si>
    <t>SquadAvgIntlGoalsDiff_TeamVsOpponent</t>
  </si>
  <si>
    <t>SquadAvgHeightDiff_TeamVsOpponent</t>
  </si>
  <si>
    <t>OverseasClubShareDiff_TeamVsOpponent</t>
  </si>
  <si>
    <t>TeamCode</t>
  </si>
  <si>
    <t>SquadNo</t>
  </si>
  <si>
    <t>Position</t>
  </si>
  <si>
    <t>PlayerName</t>
  </si>
  <si>
    <t>DOB</t>
  </si>
  <si>
    <t>Club</t>
  </si>
  <si>
    <t>ClubCountryCode</t>
  </si>
  <si>
    <t>Height_cm</t>
  </si>
  <si>
    <t>Caps</t>
  </si>
  <si>
    <t>InternationalGoals</t>
  </si>
  <si>
    <t>Source</t>
  </si>
  <si>
    <t>ALG</t>
  </si>
  <si>
    <t>GK</t>
  </si>
  <si>
    <t>MASTIL Melvin Melvin Feycal MASTIL MASTIL</t>
  </si>
  <si>
    <t>19/02/2000</t>
  </si>
  <si>
    <t>FC Stade Nyonnais (SUI)</t>
  </si>
  <si>
    <t>SUI</t>
  </si>
  <si>
    <t>FIFA World Cup 2026 SquadLists-English.pdf</t>
  </si>
  <si>
    <t>DF</t>
  </si>
  <si>
    <t>MANDI Aissa Aissa MANDI MANDI</t>
  </si>
  <si>
    <t>22/10/1991</t>
  </si>
  <si>
    <t>Lille OSC (FRA)</t>
  </si>
  <si>
    <t>FRA</t>
  </si>
  <si>
    <t>ABADA Achref Achref ABADA ABADA</t>
  </si>
  <si>
    <t>15/06/1999</t>
  </si>
  <si>
    <t>USM Alger (ALG)</t>
  </si>
  <si>
    <t>TOUGAI Mohamed Amine Mohamed Amine TOUGAI TOUGAI</t>
  </si>
  <si>
    <t>22/01/2000</t>
  </si>
  <si>
    <t>Espérance De Tunisie (TUN)</t>
  </si>
  <si>
    <t>TUN</t>
  </si>
  <si>
    <t>BELAID Zineddine Zineddine BELAÏD BELAID</t>
  </si>
  <si>
    <t>20/03/1999</t>
  </si>
  <si>
    <t>JS Kabylie (ALG)</t>
  </si>
  <si>
    <t>MF</t>
  </si>
  <si>
    <t>ZERROUKI Ramiz Ramiz Larbi ZERROUKI ZERROUKI</t>
  </si>
  <si>
    <t>26/05/1998</t>
  </si>
  <si>
    <t>FC Twente (NED)</t>
  </si>
  <si>
    <t>NED</t>
  </si>
  <si>
    <t>FW</t>
  </si>
  <si>
    <t>MAHREZ Riyad Riyad Karim MAHREZ MAHREZ</t>
  </si>
  <si>
    <t>21/02/1991</t>
  </si>
  <si>
    <t>Al Ahli FC (KSA)</t>
  </si>
  <si>
    <t>KSA</t>
  </si>
  <si>
    <t>AOUAR Houssem Houssem-Eddine Chaabane AOUAR AOUAR</t>
  </si>
  <si>
    <t>30/06/1998</t>
  </si>
  <si>
    <t>Al Ittihad (KSA)</t>
  </si>
  <si>
    <t>GOUIRI Amine Amine Ferid GHOUIRI GOUIRI</t>
  </si>
  <si>
    <t>16/02/2000</t>
  </si>
  <si>
    <t>Olympique Marseille (FRA)</t>
  </si>
  <si>
    <t>CHAIBI Fares Fares CHAIBI CHAIBI</t>
  </si>
  <si>
    <t>28/11/2002</t>
  </si>
  <si>
    <t>Eintracht Frankfurt (GER)</t>
  </si>
  <si>
    <t>GER</t>
  </si>
  <si>
    <t>HADJ MOUSSA Anis Anis HADJ MOUSSA HADJ MOUSSA</t>
  </si>
  <si>
    <t>11/02/2002</t>
  </si>
  <si>
    <t>Feyenoord Rotterdam (NED)</t>
  </si>
  <si>
    <t>BENBOUALI Nadhir Ahmed Nadhir BENBOUALI BENBOUALI</t>
  </si>
  <si>
    <t>17/04/2000</t>
  </si>
  <si>
    <t>Györi ETO FC (HUN)</t>
  </si>
  <si>
    <t>HUN</t>
  </si>
  <si>
    <t>HADJAM Jaouen Jaouen Djimmy HADJAM HADJAM</t>
  </si>
  <si>
    <t>26/03/2003</t>
  </si>
  <si>
    <t>BSC Young Boys (SUI)</t>
  </si>
  <si>
    <t>BOUDAOUI Hicham Hicham BOUDAOUI BOUDAOUI</t>
  </si>
  <si>
    <t>23/09/1999</t>
  </si>
  <si>
    <t>OGC Nice (FRA)</t>
  </si>
  <si>
    <t>AIT-NOURI Rayan Rayan AÏT-NOURI AIT NOURI</t>
  </si>
  <si>
    <t>06/06/2001</t>
  </si>
  <si>
    <t>Manchester City FC (ENG)</t>
  </si>
  <si>
    <t>ENG</t>
  </si>
  <si>
    <t>BENBOT Oussama Oussama BENBOT BENBOT</t>
  </si>
  <si>
    <t>11/10/1994</t>
  </si>
  <si>
    <t>BELGHALI Rak Rak BELGHALI BELGHALI</t>
  </si>
  <si>
    <t>07/06/2002</t>
  </si>
  <si>
    <t>Hellas Verona FC (ITA)</t>
  </si>
  <si>
    <t>ITA</t>
  </si>
  <si>
    <t>AMOURA Mohamed Mohammed Elamine AMOURA AMOURA</t>
  </si>
  <si>
    <t>09/05/2000</t>
  </si>
  <si>
    <t>VfL Wolfsburg (GER)</t>
  </si>
  <si>
    <t>BENTALEB Nabil Nabil BENTALEB BENTALEB</t>
  </si>
  <si>
    <t>24/11/1994</t>
  </si>
  <si>
    <t>BOULBINA Adil Adil BOULBINA BOULBINA</t>
  </si>
  <si>
    <t>02/05/2003</t>
  </si>
  <si>
    <t>Al Duhail SC (QAT)</t>
  </si>
  <si>
    <t>QAT</t>
  </si>
  <si>
    <t>BENSEBAINI Ramy Amir Selmane Rami BENSEBAINI BENSEBAINI</t>
  </si>
  <si>
    <t>16/04/1995</t>
  </si>
  <si>
    <t>Borussia Dortmund (GER)</t>
  </si>
  <si>
    <t>MAZA Ibrahim Ibrahim MAZA MAZA</t>
  </si>
  <si>
    <t>24/11/2005</t>
  </si>
  <si>
    <t>Bayer 04 Leverkusen (GER)</t>
  </si>
  <si>
    <t>ZIDANE Luca Luca Zinedine ZIDANE ZIDANE</t>
  </si>
  <si>
    <t>13/05/1998</t>
  </si>
  <si>
    <t>Granada CF (ESP)</t>
  </si>
  <si>
    <t>ESP</t>
  </si>
  <si>
    <t>TITRAOUI Yassine Yassine M E G TITRAOUI TITRAOUI</t>
  </si>
  <si>
    <t>26/07/2003</t>
  </si>
  <si>
    <t>Sporting Charleroi (BEL)</t>
  </si>
  <si>
    <t>BEL</t>
  </si>
  <si>
    <t>GHEDJEMIS Fares Fares GHEDJEMIS GHEDJEMIS</t>
  </si>
  <si>
    <t>06/09/2002</t>
  </si>
  <si>
    <t>Frosinone (ITA)</t>
  </si>
  <si>
    <t>CHERGUI Samir Samir Sophian CHERGUI CHERGUI</t>
  </si>
  <si>
    <t>06/02/1999</t>
  </si>
  <si>
    <t>Paris FC (FRA)</t>
  </si>
  <si>
    <t>ARG</t>
  </si>
  <si>
    <t>MUSSO Juan Juan Agustín MUSSO MUSSO</t>
  </si>
  <si>
    <t>06/05/1994</t>
  </si>
  <si>
    <t>Atlético De Madrid (ESP)</t>
  </si>
  <si>
    <t>SENESI Marcos Marcos Nicolás SENESI BARON SENESI</t>
  </si>
  <si>
    <t>10/05/1997</t>
  </si>
  <si>
    <t>AFC Bournemouth (ENG)</t>
  </si>
  <si>
    <t>TAGLIAFICO Nicolas Nicolás Alejandro TAGLIAFICO TAGLIAFICO</t>
  </si>
  <si>
    <t>31/08/1992</t>
  </si>
  <si>
    <t>Olympique Lyonnais (FRA)</t>
  </si>
  <si>
    <t>MONTIEL Gonzalo Gonzalo Ariel MONTIEL MONTIEL</t>
  </si>
  <si>
    <t>01/01/1997</t>
  </si>
  <si>
    <t>CA River Plate (ARG)</t>
  </si>
  <si>
    <t>PAREDES Leandro Leandro Daniel PAREDES PAREDES</t>
  </si>
  <si>
    <t>29/06/1994</t>
  </si>
  <si>
    <t>CA Boca Juniors (ARG)</t>
  </si>
  <si>
    <t>MARTINEZ Lisandro Lisandro MARTÍNEZ MARTÍNEZ</t>
  </si>
  <si>
    <t>18/01/1998</t>
  </si>
  <si>
    <t>Manchester United FC (ENG)</t>
  </si>
  <si>
    <t>DE PAUL Rodrigo Rodrigo Javier DE PAUL DE PAUL</t>
  </si>
  <si>
    <t>24/05/1994</t>
  </si>
  <si>
    <t>Inter Miami CF (USA)</t>
  </si>
  <si>
    <t>BARCO Valentin Valentin BARCO BARCO</t>
  </si>
  <si>
    <t>23/07/2004</t>
  </si>
  <si>
    <t>RC Strasbourg (FRA)</t>
  </si>
  <si>
    <t>ALVAREZ Julian Julián ÁLVAREZ J. ALVAREZ</t>
  </si>
  <si>
    <t>31/01/2000</t>
  </si>
  <si>
    <t>MESSI Lionel Lionel Andrés MESSI MESSI</t>
  </si>
  <si>
    <t>24/06/1987</t>
  </si>
  <si>
    <t>LO CELSO Giovani Giovani LO CELSO LO CELSO</t>
  </si>
  <si>
    <t>09/04/1996</t>
  </si>
  <si>
    <t>Real Betis (ESP)</t>
  </si>
  <si>
    <t>RULLI Geronimo Geronimo RULLI RULLI</t>
  </si>
  <si>
    <t>20/05/1992</t>
  </si>
  <si>
    <t>ROMERO Cristian Cristian Gabriel ROMERO ROMERO</t>
  </si>
  <si>
    <t>27/04/1998</t>
  </si>
  <si>
    <t>Tottenham Hotspur FC (ENG)</t>
  </si>
  <si>
    <t>PALACIOS Exequiel Exequiel Alejandro PALACIOS PALACIOS</t>
  </si>
  <si>
    <t>05/10/1998</t>
  </si>
  <si>
    <t>GONZALEZ Nico Nicolas Ivan GONZALEZ N. GONZALEZ</t>
  </si>
  <si>
    <t>06/04/1998</t>
  </si>
  <si>
    <t>ALMADA Thiago Thiago Ezequiel ALMADA ALMADA</t>
  </si>
  <si>
    <t>26/04/2001</t>
  </si>
  <si>
    <t>SIMEONE Giuliano Giuliano SIMEONE SIMEONE</t>
  </si>
  <si>
    <t>18/12/2002</t>
  </si>
  <si>
    <t>PAZ Nico Nicolas PAZ MARTÍNEZ NICO PAZ</t>
  </si>
  <si>
    <t>08/09/2004</t>
  </si>
  <si>
    <t>Como (ITA)</t>
  </si>
  <si>
    <t>OTAMENDI Nicolas Nicolas Hernan Gonzalo OTAMENDI OTAMENDI</t>
  </si>
  <si>
    <t>12/02/1988</t>
  </si>
  <si>
    <t>SL Benca (POR)</t>
  </si>
  <si>
    <t>POR</t>
  </si>
  <si>
    <t>MAC ALLISTER Alexis Alexis MAC ALLISTER MAC ALLISTER</t>
  </si>
  <si>
    <t>24/12/1998</t>
  </si>
  <si>
    <t>Liverpool FC (ENG)</t>
  </si>
  <si>
    <t>LOPEZ Jose Manuel Jose Manuel Alberto LOPEZ LOPEZ</t>
  </si>
  <si>
    <t>06/12/2000</t>
  </si>
  <si>
    <t>SE Palmeiras (BRA)</t>
  </si>
  <si>
    <t>BRA</t>
  </si>
  <si>
    <t>MARTINEZ Lautaro Lautaro Javier MARTÍNEZ L. MARTINEZ</t>
  </si>
  <si>
    <t>22/08/1997</t>
  </si>
  <si>
    <t>FC Internazionale Milano (ITA)</t>
  </si>
  <si>
    <t>MARTINEZ Emiliano Damián Emiliano MARTÍNEZ E. MARTINEZ</t>
  </si>
  <si>
    <t>02/09/1992</t>
  </si>
  <si>
    <t>Aston Villa FC (ENG)</t>
  </si>
  <si>
    <t>FERNANDEZ Enzo Enzo Jeremías FERNÁNDEZ E. FERNANDEZ</t>
  </si>
  <si>
    <t>17/01/2001</t>
  </si>
  <si>
    <t>Chelsea FC (ENG)</t>
  </si>
  <si>
    <t>MEDINA Facundo Facundo Axel MEDINA MEDINA</t>
  </si>
  <si>
    <t>28/05/1999</t>
  </si>
  <si>
    <t>MOLINA Nahuel Nahuel MOLINA LUCERO MOLINA</t>
  </si>
  <si>
    <t>AUS</t>
  </si>
  <si>
    <t>RYAN Mathew Mathew David RYAN RYAN</t>
  </si>
  <si>
    <t>08/04/1992</t>
  </si>
  <si>
    <t>Levante UD (ESP)</t>
  </si>
  <si>
    <t>DEGENEK Milos Milos DEGENEK DEGENEK</t>
  </si>
  <si>
    <t>28/04/1994</t>
  </si>
  <si>
    <t>APOEL FC (CYP)</t>
  </si>
  <si>
    <t>CYP</t>
  </si>
  <si>
    <t>CIRCATI Alessandro Alessandro CIRCATI CIRCATI</t>
  </si>
  <si>
    <t>10/10/2003</t>
  </si>
  <si>
    <t>Parma (ITA)</t>
  </si>
  <si>
    <t>ITALIANO Jacob Jacob Michael ITALIANO ITALIANO</t>
  </si>
  <si>
    <t>30/07/2001</t>
  </si>
  <si>
    <t>Grazer AK (AUT)</t>
  </si>
  <si>
    <t>AUT</t>
  </si>
  <si>
    <t>BOS Jordan Jordan Jacob BOS BOS</t>
  </si>
  <si>
    <t>29/10/2002</t>
  </si>
  <si>
    <t>GERIA Jason Jason Kato GERIA GERIA</t>
  </si>
  <si>
    <t>10/05/1993</t>
  </si>
  <si>
    <t>Albirex Niigata (JPN)</t>
  </si>
  <si>
    <t>JPN</t>
  </si>
  <si>
    <t>LECKIE Mathew Mathew Allan LECKIE LECKIE</t>
  </si>
  <si>
    <t>04/02/1991</t>
  </si>
  <si>
    <t>Melbourne City FC (AUS)</t>
  </si>
  <si>
    <t>METCALFE Connor Connor Isaac METCALFE METCALFE</t>
  </si>
  <si>
    <t>05/11/1999</t>
  </si>
  <si>
    <t>FC St. Pauli (GER)</t>
  </si>
  <si>
    <t>TOURE Mohamed Mohamed A TOURE TOURE</t>
  </si>
  <si>
    <t>26/03/2004</t>
  </si>
  <si>
    <t>Norwich City FC (ENG)</t>
  </si>
  <si>
    <t>HRUSTIC Ajdin Ajdin HRUSTIC HRUSTIC</t>
  </si>
  <si>
    <t>05/07/1996</t>
  </si>
  <si>
    <t>SC Heracles Almelo (NED)</t>
  </si>
  <si>
    <t>MABIL Awer Awer Bul MABIL MABIL</t>
  </si>
  <si>
    <t>15/09/1995</t>
  </si>
  <si>
    <t>CD Castellón (ESP)</t>
  </si>
  <si>
    <t>IZZO Paul Paul David IZZO IZZO</t>
  </si>
  <si>
    <t>06/01/1995</t>
  </si>
  <si>
    <t>Randers FC (DEN)</t>
  </si>
  <si>
    <t>DEN</t>
  </si>
  <si>
    <t>ONEILL Aiden Aiden Connor O'NEILL O'NEILL</t>
  </si>
  <si>
    <t>04/07/1998</t>
  </si>
  <si>
    <t>New York City FC (USA)</t>
  </si>
  <si>
    <t>DEVLIN Cameron Cameron Peter DEVLIN DEVLIN</t>
  </si>
  <si>
    <t>07/06/1998</t>
  </si>
  <si>
    <t>Heart Of Midlothian FC (SCO)</t>
  </si>
  <si>
    <t>SCO</t>
  </si>
  <si>
    <t>TREWIN Kai Kai Clifton TREWIN TREWIN</t>
  </si>
  <si>
    <t>18/05/2001</t>
  </si>
  <si>
    <t>BEHICH Aziz Aziz BEHICH BEHICH</t>
  </si>
  <si>
    <t>16/12/1990</t>
  </si>
  <si>
    <t>IRANKUNDA Nestory Nestory IRANKUNDA IRANKUNDA</t>
  </si>
  <si>
    <t>09/02/2006</t>
  </si>
  <si>
    <t>Watford FC (ENG)</t>
  </si>
  <si>
    <t>BEACH Patrick Patrick Thomas BEACH BEACH</t>
  </si>
  <si>
    <t>06/08/2003</t>
  </si>
  <si>
    <t>SOUTTAR Harry Harry James SOUTTAR SOUTTAR</t>
  </si>
  <si>
    <t>22/10/1998</t>
  </si>
  <si>
    <t>Leicester City FC (ENG)</t>
  </si>
  <si>
    <t>VOLPATO Cristian Cristian VOLPATO VOLPATO</t>
  </si>
  <si>
    <t>15/11/2003</t>
  </si>
  <si>
    <t>US Sassuolo (ITA)</t>
  </si>
  <si>
    <t>BURGESS Cameron Cameron Robert BURGESS BURGESS</t>
  </si>
  <si>
    <t>21/10/1995</t>
  </si>
  <si>
    <t>Swansea City AFC (WAL)</t>
  </si>
  <si>
    <t>WAL</t>
  </si>
  <si>
    <t>IRVINE Jackson Jackson Alexander IRVINE IRVINE</t>
  </si>
  <si>
    <t>07/03/1993</t>
  </si>
  <si>
    <t>VELUPILLAY Nishan Nishan Matthew VELUPILLAY VELUPILLAY</t>
  </si>
  <si>
    <t>07/05/2001</t>
  </si>
  <si>
    <t>Melbourne Victory FC (AUS)</t>
  </si>
  <si>
    <t>OKON-ENGSTLER Paul Paul Michael Junior OKON-ENGSTLER OKON-ENGSTLER</t>
  </si>
  <si>
    <t>24/01/2005</t>
  </si>
  <si>
    <t>Sydney FC (AUS)</t>
  </si>
  <si>
    <t>HERRINGTON Lucas Lucas HERRINGTON HERRINGTON</t>
  </si>
  <si>
    <t>05/09/2007</t>
  </si>
  <si>
    <t>Colorado Rapids (USA)</t>
  </si>
  <si>
    <t>YENGI Tete Tete Owen YENGI YENGI</t>
  </si>
  <si>
    <t>28/11/2000</t>
  </si>
  <si>
    <t>FC Machida Zelvia (JPN)</t>
  </si>
  <si>
    <t>SCHLAGER Alexander Alexander SCHLAGER SCHLAGER</t>
  </si>
  <si>
    <t>01/02/1996</t>
  </si>
  <si>
    <t>FC Red Bull Salzburg (AUT)</t>
  </si>
  <si>
    <t>AFFENGRUBER David David Leopold AFFENGRUBER AFFENGRUBER</t>
  </si>
  <si>
    <t>19/03/2001</t>
  </si>
  <si>
    <t>Elche CF (ESP)</t>
  </si>
  <si>
    <t>DANSO Kevin Kevin DANSO DANSO</t>
  </si>
  <si>
    <t>19/09/1998</t>
  </si>
  <si>
    <t>SCHLAGER Xaver Xaver SCHLAGER XAVER</t>
  </si>
  <si>
    <t>28/09/1997</t>
  </si>
  <si>
    <t>RB Leipzig (GER)</t>
  </si>
  <si>
    <t>POSCH Stefan Stefan POSCH POSCH</t>
  </si>
  <si>
    <t>14/05/1997</t>
  </si>
  <si>
    <t>1. FSV Mainz 05 (GER)</t>
  </si>
  <si>
    <t>SEIWALD Nicolas Nicolas SEIWALD SEIWALD</t>
  </si>
  <si>
    <t>04/05/2001</t>
  </si>
  <si>
    <t>ARNAUTOVIC Marko Marko ARNAUTOVIC ARNAUTOVIC</t>
  </si>
  <si>
    <t>19/04/1989</t>
  </si>
  <si>
    <t>FK Crvena Zvezda (SRB)</t>
  </si>
  <si>
    <t>SRB</t>
  </si>
  <si>
    <t>ALABA David David ALABA ALABA</t>
  </si>
  <si>
    <t>24/06/1992</t>
  </si>
  <si>
    <t>Real Madrid C. F. (ESP)</t>
  </si>
  <si>
    <t>SABITZER Marcel Marcel SABITZER SABITZER</t>
  </si>
  <si>
    <t>17/03/1994</t>
  </si>
  <si>
    <t>GRILLITSCH Florian Florian GRILLITSCH GRILLITSCH</t>
  </si>
  <si>
    <t>07/08/1995</t>
  </si>
  <si>
    <t>SC Braga (POR)</t>
  </si>
  <si>
    <t>GREGORITSCH Michael Michael GREGORITSCH GREGORITSCH</t>
  </si>
  <si>
    <t>18/04/1994</t>
  </si>
  <si>
    <t>FC Augsburg (GER)</t>
  </si>
  <si>
    <t>WIEGELE Florian Florian WIEGELE WIEGELE</t>
  </si>
  <si>
    <t>21/03/2001</t>
  </si>
  <si>
    <t>FC Viktoria Plzeň (CZE)</t>
  </si>
  <si>
    <t>CZE</t>
  </si>
  <si>
    <t>PENTZ Patrick Patrick PENTZ PENTZ</t>
  </si>
  <si>
    <t>02/01/1997</t>
  </si>
  <si>
    <t>Brøndby IF (DEN)</t>
  </si>
  <si>
    <t>KALAJDZIC Sasa Saša KALAJDŽIĆ KALAJDZIC</t>
  </si>
  <si>
    <t>07/07/1997</t>
  </si>
  <si>
    <t>LASK Linz (AUT)</t>
  </si>
  <si>
    <t>LIENHART Philipp Philipp LIENHART LIENHART</t>
  </si>
  <si>
    <t>11/07/1996</t>
  </si>
  <si>
    <t>SC Freiburg (GER)</t>
  </si>
  <si>
    <t>MWENE Phillip Phillip MWENE MWENE</t>
  </si>
  <si>
    <t>29/01/1994</t>
  </si>
  <si>
    <t>CHUKWUEMEKA Carney Carney Chibueze CHUKWUEMEKA CHUKWUEMEKA</t>
  </si>
  <si>
    <t>20/10/2003</t>
  </si>
  <si>
    <t>SCHMID Romano Romano SCHMID SCHMID</t>
  </si>
  <si>
    <t>27/01/2000</t>
  </si>
  <si>
    <t>SV Werder Bremen (GER)</t>
  </si>
  <si>
    <t>LJUBICIC Dejan Dejan LJUBIČIĆ LJUBICIC</t>
  </si>
  <si>
    <t>08/10/1997</t>
  </si>
  <si>
    <t>FC Schalke 04 (GER)</t>
  </si>
  <si>
    <t>LAIMER Konrad Konrad LAIMER LAIMER</t>
  </si>
  <si>
    <t>27/05/1997</t>
  </si>
  <si>
    <t>FC Bayern München (GER)</t>
  </si>
  <si>
    <t>WIMMER Patrick Patrick WIMMER WIMMER</t>
  </si>
  <si>
    <t>30/05/2001</t>
  </si>
  <si>
    <t>PRASS Alexander Alexander PRASS PRASS</t>
  </si>
  <si>
    <t>26/05/2001</t>
  </si>
  <si>
    <t>TSG Hoffenheim (GER)</t>
  </si>
  <si>
    <t>FRIEDL Marco Marco FRIEDL FRIEDL</t>
  </si>
  <si>
    <t>16/03/1998</t>
  </si>
  <si>
    <t>WANNER Paul Paul WANNER WANNER</t>
  </si>
  <si>
    <t>23/12/2005</t>
  </si>
  <si>
    <t>PSV Eindhoven (NED)</t>
  </si>
  <si>
    <t>SVOBODA Michael Michael SVOBODA SVOBODA</t>
  </si>
  <si>
    <t>15/10/1998</t>
  </si>
  <si>
    <t>Venezia FC (ITA)</t>
  </si>
  <si>
    <t>SCHOEPF Alessandro Alessandro Andre SCHÖPF SCHÖPF</t>
  </si>
  <si>
    <t>07/02/1994</t>
  </si>
  <si>
    <t>Wolfsberger AC (AUT)</t>
  </si>
  <si>
    <t>COURTOIS Thibaut Thibaut Nicolas M COURTOIS COURTOIS</t>
  </si>
  <si>
    <t>11/05/1992</t>
  </si>
  <si>
    <t>DEBAST Zeno Zeno Koen DEBAST DEBAST</t>
  </si>
  <si>
    <t>24/10/2003</t>
  </si>
  <si>
    <t>Sporting CP (POR)</t>
  </si>
  <si>
    <t>THEATE Arthur Arthur Nicolas R THEATE THEATE</t>
  </si>
  <si>
    <t>25/05/2000</t>
  </si>
  <si>
    <t>MECHELE Brandon Brandon Erik MECHELE MECHELE</t>
  </si>
  <si>
    <t>28/01/1993</t>
  </si>
  <si>
    <t>Club Brugge (BEL)</t>
  </si>
  <si>
    <t>DE CUYPER Maxim Maxim Peter M DE CUYPER DE CUYPER</t>
  </si>
  <si>
    <t>22/12/2000</t>
  </si>
  <si>
    <t>Brighton &amp; Hove Albion FC (ENG)</t>
  </si>
  <si>
    <t>WITSEL Axel Axel Laurent A WITSEL WITSEL</t>
  </si>
  <si>
    <t>12/01/1989</t>
  </si>
  <si>
    <t>Girona FC (ESP)</t>
  </si>
  <si>
    <t>DE BRUYNE Kevin Kevin DE BRUYNE DE BRUYNE</t>
  </si>
  <si>
    <t>28/06/1991</t>
  </si>
  <si>
    <t>SSC Napoli (ITA)</t>
  </si>
  <si>
    <t>TIELEMANS Youri Youri Marion A TIELEMANS TIELEMANS</t>
  </si>
  <si>
    <t>07/05/1997</t>
  </si>
  <si>
    <t>LUKAKU Romelu Romelu LUKAKU BOLINGOLI LUKAKU</t>
  </si>
  <si>
    <t>13/05/1993</t>
  </si>
  <si>
    <t>TROSSARD Leandro Leandro TROSSARD TROSSARD</t>
  </si>
  <si>
    <t>04/12/1994</t>
  </si>
  <si>
    <t>Arsenal FC (ENG)</t>
  </si>
  <si>
    <t>DOKU Jeremy Jeremy Baffour DOKU DOKU</t>
  </si>
  <si>
    <t>27/05/2002</t>
  </si>
  <si>
    <t>LAMMENS Senne Senne LAMMENS LAMMENS</t>
  </si>
  <si>
    <t>07/07/2002</t>
  </si>
  <si>
    <t>PENDERS Mike Mike Louis PENDERS PENDERS</t>
  </si>
  <si>
    <t>31/07/2005</t>
  </si>
  <si>
    <t>LUKEBAKIO Dodi Dodi LUKEBAKIO NGANDOLI LUKEBAKIO</t>
  </si>
  <si>
    <t>24/09/1997</t>
  </si>
  <si>
    <t>MEUNIER Thomas Thomas Andre A MEUNIER MEUNIER</t>
  </si>
  <si>
    <t>12/09/1991</t>
  </si>
  <si>
    <t>DE WINTER Koni Koni DE WINTER DE WINTER</t>
  </si>
  <si>
    <t>12/06/2002</t>
  </si>
  <si>
    <t>AC Milan (ITA)</t>
  </si>
  <si>
    <t>DE KETELAERE Charles Charles Marc S DE KETELAERE DE KETELAERE</t>
  </si>
  <si>
    <t>10/03/2001</t>
  </si>
  <si>
    <t>Atalanta Bergamo (ITA)</t>
  </si>
  <si>
    <t>SEYS Joaquin Joaquin Ronny SEYS SEYS</t>
  </si>
  <si>
    <t>28/03/2005</t>
  </si>
  <si>
    <t>MOREIRA Diego Diego Manuel J DA SILVA MOREIRA MOREIRA JR</t>
  </si>
  <si>
    <t>06/08/2004</t>
  </si>
  <si>
    <t>VANAKEN Hans Hans VANAKEN VANAKEN</t>
  </si>
  <si>
    <t>24/08/1992</t>
  </si>
  <si>
    <t>CASTAGNE Timothy Timothy CASTAGNE CASTAGNE</t>
  </si>
  <si>
    <t>05/12/1995</t>
  </si>
  <si>
    <t>Fulham FC (ENG)</t>
  </si>
  <si>
    <t>SAELEMAEKERS Alexis Alexis Jesse M SAELEMAEKERS SAELEMAEKERS</t>
  </si>
  <si>
    <t>27/06/1999</t>
  </si>
  <si>
    <t>RASKIN Nicolas Nicolas Thierry Y RASKIN RASKIN</t>
  </si>
  <si>
    <t>23/02/2001</t>
  </si>
  <si>
    <t>Rangers FC (SCO)</t>
  </si>
  <si>
    <t>ONANA Amadou Amadou Ba Z MVOM ONANA ONANA</t>
  </si>
  <si>
    <t>16/08/2001</t>
  </si>
  <si>
    <t>NGOY Nathan Nathan NGOY NGOY</t>
  </si>
  <si>
    <t>10/06/2003</t>
  </si>
  <si>
    <t>FERNANDEZ-PARDO Matias Matias FERNANDEZ-PARDO FERNANDEZ-PARDO</t>
  </si>
  <si>
    <t>03/02/2005</t>
  </si>
  <si>
    <t>Bosnia And Herzegovina</t>
  </si>
  <si>
    <t>BIH</t>
  </si>
  <si>
    <t>VASILJ Nikola Nikola VASILJ VASILJ</t>
  </si>
  <si>
    <t>02/12/1995</t>
  </si>
  <si>
    <t>MUJAKIC Nihad Nihad MUJAKIĆ MUJAKIĆ</t>
  </si>
  <si>
    <t>15/04/1998</t>
  </si>
  <si>
    <t>Gaziantep FK (TUR)</t>
  </si>
  <si>
    <t>TUR</t>
  </si>
  <si>
    <t>HADZIKADUNIC Dennis Dennis HADŽIKADUNIĆ HADŽIKADUNIĆ</t>
  </si>
  <si>
    <t>09/07/1998</t>
  </si>
  <si>
    <t>UC Sampdoria (ITA)</t>
  </si>
  <si>
    <t>MUHAREMOVIC Tarik Tarik MUHAREMOVIĆ MUHAREMOVIĆ</t>
  </si>
  <si>
    <t>28/02/2003</t>
  </si>
  <si>
    <t>KOLASINAC Sead Sead KOLAŠINAC KOLAŠINAC</t>
  </si>
  <si>
    <t>20/06/1993</t>
  </si>
  <si>
    <t>TAHIROVIC Benjamin Benjamin TAHIROVIC TAHIROVIĆ</t>
  </si>
  <si>
    <t>03/03/2003</t>
  </si>
  <si>
    <t>DEDIC Amar Amar DEDIĆ DEDIĆ</t>
  </si>
  <si>
    <t>18/08/2002</t>
  </si>
  <si>
    <t>GIGOVIC Armin Armin GIGOVIĆ GIGOVIĆ</t>
  </si>
  <si>
    <t>06/04/2002</t>
  </si>
  <si>
    <t>BAZDAR Samed Samed BAŽDAR BAŽDAR</t>
  </si>
  <si>
    <t>31/01/2004</t>
  </si>
  <si>
    <t>Jagiellonia Białystok (POL)</t>
  </si>
  <si>
    <t>POL</t>
  </si>
  <si>
    <t>DEMIROVIC Ermedin Ermedin DEMIROVIĆ DEMIROVIĆ</t>
  </si>
  <si>
    <t>25/03/1998</t>
  </si>
  <si>
    <t>VfB Stuttgart (GER)</t>
  </si>
  <si>
    <t>DZEKO Edin Edin DŽEKO DŽEKO</t>
  </si>
  <si>
    <t>17/03/1986</t>
  </si>
  <si>
    <t>JURKAS Mladen Mladen JURKAS JURKAS</t>
  </si>
  <si>
    <t>07/10/2007</t>
  </si>
  <si>
    <t>FK Borac Banja Luka (BIH)</t>
  </si>
  <si>
    <t>BASIC Ivan Ivan BAŠIĆ BAŠIĆ</t>
  </si>
  <si>
    <t>30/04/2002</t>
  </si>
  <si>
    <t>FC Astana (KAZ)</t>
  </si>
  <si>
    <t>KAZ</t>
  </si>
  <si>
    <t>SUNJIC Ivan Ivan ŠUNJIĆ ŠUNJIĆ</t>
  </si>
  <si>
    <t>09/10/1996</t>
  </si>
  <si>
    <t>Pafos FC (CYP)</t>
  </si>
  <si>
    <t>MEMIC Amar Amar MEMIĆ MEMIĆ</t>
  </si>
  <si>
    <t>20/01/2001</t>
  </si>
  <si>
    <t>HADZIAHMETOVIC Amir Amir HADŽIAHMETOVIĆ HADŽIAHMETOVIĆ</t>
  </si>
  <si>
    <t>08/03/1997</t>
  </si>
  <si>
    <t>Hull City FC (ENG)</t>
  </si>
  <si>
    <t>BURNIC Dzenis Dženis BURNIĆ BURNIĆ</t>
  </si>
  <si>
    <t>22/05/1998</t>
  </si>
  <si>
    <t>Karlsruher SC (GER)</t>
  </si>
  <si>
    <t>KATIC Nikola Nikola KATIĆ KATIĆ</t>
  </si>
  <si>
    <t>10/10/1996</t>
  </si>
  <si>
    <t>ALAJBEGOVIC Kerim Kerim ALAJBEGOVIĆ ALAJBEGOVIĆ</t>
  </si>
  <si>
    <t>21/09/2007</t>
  </si>
  <si>
    <t>BAJRAKTAREVIC Esmir Esmir BAJRAKTAREVIĆ BAJRAKTAREVIĆ</t>
  </si>
  <si>
    <t>10/03/2005</t>
  </si>
  <si>
    <t>RADELJIC Stjepan Stjepan RADELJIĆ RADELJIĆ</t>
  </si>
  <si>
    <t>05/09/1997</t>
  </si>
  <si>
    <t>HNK Rijeka (CRO)</t>
  </si>
  <si>
    <t>CRO</t>
  </si>
  <si>
    <t>ZLOMISLIC Martin Martin ZLOMISLIĆ ZLOMISLIĆ</t>
  </si>
  <si>
    <t>16/08/1998</t>
  </si>
  <si>
    <t>TABAKOVIC Haris Haris TABAKOVIĆ TABAKOVIĆ</t>
  </si>
  <si>
    <t>20/06/1994</t>
  </si>
  <si>
    <t>Borussia Mönchengladbach (GER)</t>
  </si>
  <si>
    <t>MALIC Arjan Arjan MALIĆ MALIĆ</t>
  </si>
  <si>
    <t>28/08/2005</t>
  </si>
  <si>
    <t>SK Sturm Graz (AUT)</t>
  </si>
  <si>
    <t>LUKIC Jovo Jovo LUKIĆ LUKIĆ</t>
  </si>
  <si>
    <t>28/11/1998</t>
  </si>
  <si>
    <t>Universitatea Cluj (ROU)</t>
  </si>
  <si>
    <t>ROU</t>
  </si>
  <si>
    <t>MAHMIC Ermin Ermin MAHMIĆ MAHMIĆ</t>
  </si>
  <si>
    <t>14/03/2005</t>
  </si>
  <si>
    <t>FC Slovan Liberec (CZE)</t>
  </si>
  <si>
    <t>ALISSON Álisson Ramsés BECKER A. BECKER</t>
  </si>
  <si>
    <t>02/10/1992</t>
  </si>
  <si>
    <t>EDERSON SILVA Éderson José DOS SANTOS LOURENÇO DA SILVA ÉDERSON S.</t>
  </si>
  <si>
    <t>07/07/1999</t>
  </si>
  <si>
    <t>GABRIEL MAGALHAES Gabriel DOS SANTOS MAGALHÃES GABRIEL</t>
  </si>
  <si>
    <t>19/12/1997</t>
  </si>
  <si>
    <t>MARQUINHOS Marcos AOAS CORREA MARQUINHOS</t>
  </si>
  <si>
    <t>14/05/1994</t>
  </si>
  <si>
    <t>Paris Saint-Germain (FRA)</t>
  </si>
  <si>
    <t>CASEMIRO Carlos Henrique CASIMIRO CASEMIRO</t>
  </si>
  <si>
    <t>23/02/1992</t>
  </si>
  <si>
    <t>ALEX SANDRO Alex Sandro LOBO SILVA ALEX SANDRO</t>
  </si>
  <si>
    <t>26/01/1991</t>
  </si>
  <si>
    <t>CR Flamengo (BRA)</t>
  </si>
  <si>
    <t>VINICIUS JUNIOR Vinicius José PAIXÃO DE OLIVEIRA JÚNIOR VINI JR.</t>
  </si>
  <si>
    <t>12/07/2000</t>
  </si>
  <si>
    <t>BRUNO GUIMARAES Bruno GUIMARÃES RODRIGUEZ MOURA BRUNO G.</t>
  </si>
  <si>
    <t>16/11/1997</t>
  </si>
  <si>
    <t>Newcastle United FC (ENG)</t>
  </si>
  <si>
    <t>MATHEUS CUNHA Matheus SANTOS CARNEIRO DA CUNHA CUNHA</t>
  </si>
  <si>
    <t>27/05/1999</t>
  </si>
  <si>
    <t>NEYMAR JR Neymar DA SILVA SANTOS JÚNIOR NEYMAR JR</t>
  </si>
  <si>
    <t>05/02/1992</t>
  </si>
  <si>
    <t>Santos FC (BRA)</t>
  </si>
  <si>
    <t>RAPHINHA Raphael DIAS BELLOLI RAPHINHA</t>
  </si>
  <si>
    <t>14/12/1996</t>
  </si>
  <si>
    <t>FC Barcelona (ESP)</t>
  </si>
  <si>
    <t>WEVERTON Weverton PEREIRA DA SILVA WEVERTON</t>
  </si>
  <si>
    <t>13/12/1987</t>
  </si>
  <si>
    <t>Grêmio FBPA (BRA)</t>
  </si>
  <si>
    <t>DANILO Danilo Luiz DA SILVA DANILO</t>
  </si>
  <si>
    <t>15/07/1991</t>
  </si>
  <si>
    <t>BREMER Gleison Bremer SILVA NASCIMENTO BREMER</t>
  </si>
  <si>
    <t>18/03/1997</t>
  </si>
  <si>
    <t>Juventus FC (ITA)</t>
  </si>
  <si>
    <t>LEO PEREIRA Leonardo PEREIRA LÉO PEREIRA</t>
  </si>
  <si>
    <t>31/01/1996</t>
  </si>
  <si>
    <t>DOUGLAS SANTOS Douglas DOS SANTOS JUSTINO DE MELO DOUGLAS S.</t>
  </si>
  <si>
    <t>22/03/1994</t>
  </si>
  <si>
    <t>FC Zenit St. Petersburg (RUS)</t>
  </si>
  <si>
    <t>RUS</t>
  </si>
  <si>
    <t>FABINHO Fabio Henrique TAVARES FABINHO</t>
  </si>
  <si>
    <t>23/10/1993</t>
  </si>
  <si>
    <t>DANILO SANTOS Danilo DOS SANTOS DE OLIVEIRA DANILO S.</t>
  </si>
  <si>
    <t>29/04/2001</t>
  </si>
  <si>
    <t>Botafogo (BRA)</t>
  </si>
  <si>
    <t>ENDRICK Endrick Felipe MOREIRA DE SOUSA PESSOA ENDRICK</t>
  </si>
  <si>
    <t>21/07/2006</t>
  </si>
  <si>
    <t>LUCAS PAQUETA Lucas TOLENTINO COELHO DE LIMA L. PAQUETÁ</t>
  </si>
  <si>
    <t>27/08/1997</t>
  </si>
  <si>
    <t>LUIZ HENRIQUE Luiz Henrique André ROSA DA SILVA L. HENRIQUE</t>
  </si>
  <si>
    <t>02/01/2001</t>
  </si>
  <si>
    <t>GABRIEL MARTINELLI Gabriel TEODORO MARTINELLI SILVA MARTINELLI</t>
  </si>
  <si>
    <t>18/06/2001</t>
  </si>
  <si>
    <t>EDERSON Ederson SANTANA DE MORAES EDERSON</t>
  </si>
  <si>
    <t>17/08/1993</t>
  </si>
  <si>
    <t>Fenerbahçe SK (TUR)</t>
  </si>
  <si>
    <t>ROGER IBANEZ Roger IBAÑEZ DA SILVA IBAÑEZ</t>
  </si>
  <si>
    <t>23/11/1998</t>
  </si>
  <si>
    <t>IGOR THIAGO Igor Thiago NASCIMENTO RODRIGUES THIAGO</t>
  </si>
  <si>
    <t>26/06/2001</t>
  </si>
  <si>
    <t>Brentford FC (ENG)</t>
  </si>
  <si>
    <t>RAYAN Rayan Vitor SIMPLICIO ROCHA RAYAN</t>
  </si>
  <si>
    <t>03/08/2006</t>
  </si>
  <si>
    <t>CPV</t>
  </si>
  <si>
    <t>VOZINHA Josimar José ÉVORA DIAS VOZINHA</t>
  </si>
  <si>
    <t>03/06/1986</t>
  </si>
  <si>
    <t>GD Chaves (POR)</t>
  </si>
  <si>
    <t>STOPIRA Ianique DOS SANTOS TAVARES STOPIRA</t>
  </si>
  <si>
    <t>20/05/1988</t>
  </si>
  <si>
    <t>SCU Torreense (POR)</t>
  </si>
  <si>
    <t>DINEY BORGES Edilson Alberto MONTEIRO SANCHES BORGES BORGES</t>
  </si>
  <si>
    <t>17/01/1995</t>
  </si>
  <si>
    <t>Al Bataeh Club (UAE)</t>
  </si>
  <si>
    <t>UAE</t>
  </si>
  <si>
    <t>PICO LOPES Roberto Carlos LOPES LOPES</t>
  </si>
  <si>
    <t>17/06/1992</t>
  </si>
  <si>
    <t>Shamrock Rovers FC (IRL)</t>
  </si>
  <si>
    <t>IRL</t>
  </si>
  <si>
    <t>LOGAN COSTA Logan Evans COSTA COSTA</t>
  </si>
  <si>
    <t>01/04/2001</t>
  </si>
  <si>
    <t>Villarreal CF (ESP)</t>
  </si>
  <si>
    <t>KEVIN PINA Kevin Lenini GONÇALVES PEREIRA DE PINA KEVIN L.</t>
  </si>
  <si>
    <t>27/01/1997</t>
  </si>
  <si>
    <t>FC Krasnodar (RUS)</t>
  </si>
  <si>
    <t>JOVANE CABRAL Jovane Eduardo BORGES CABRAL JOVANE</t>
  </si>
  <si>
    <t>14/06/1998</t>
  </si>
  <si>
    <t>CF Estrela Da Amadora (POR)</t>
  </si>
  <si>
    <t>JOAO PAULO João Paulo MOREIRA FERNANDES JOÃO PAULO</t>
  </si>
  <si>
    <t>FC FCSB (ROU)</t>
  </si>
  <si>
    <t>GILSON BENCHIMOL Gilson BENCHIMOL TAVARES BENCHIMOL</t>
  </si>
  <si>
    <t>29/12/2001</t>
  </si>
  <si>
    <t>FC Akron Tolyatti (RUS)</t>
  </si>
  <si>
    <t>JAMIRO MONTEIRO Jamiro Gregory MONTEIRO ALVARENGA MONTEIRO</t>
  </si>
  <si>
    <t>23/11/1993</t>
  </si>
  <si>
    <t>PEC Zwolle (NED)</t>
  </si>
  <si>
    <t>GARRY RODRIGUES Garry MENDES RODRIGUES RODRIGUES</t>
  </si>
  <si>
    <t>27/11/1990</t>
  </si>
  <si>
    <t>Apollon Limassol (CYP)</t>
  </si>
  <si>
    <t>MARCIO ROSA Márcio Salomão BRAZÃO DA ROSA MARCIO</t>
  </si>
  <si>
    <t>23/02/1997</t>
  </si>
  <si>
    <t>PFC Montana (BUL)</t>
  </si>
  <si>
    <t>BUL</t>
  </si>
  <si>
    <t>SIDNY LOPES CABRAL Sidny LOPES CABRAL LOPES CABRAL</t>
  </si>
  <si>
    <t>18/09/2002</t>
  </si>
  <si>
    <t>DEROY DUARTE Deroy D'ENCARNAÇÃO DUARTE D. DUARTE</t>
  </si>
  <si>
    <t>04/07/1999</t>
  </si>
  <si>
    <t>PFC Ludogorets Razgrad (BUL)</t>
  </si>
  <si>
    <t>LAROS DUARTE Laros Michael D'ENCARNAÇÃO DUARTE L. DUARTE</t>
  </si>
  <si>
    <t>28/02/1997</t>
  </si>
  <si>
    <t>Puskás Akadémia FC (HUN)</t>
  </si>
  <si>
    <t>YANNICK SEMEDO Jair SEMEDO MONTEIRO Y. SEMEDO</t>
  </si>
  <si>
    <t>29/12/1995</t>
  </si>
  <si>
    <t>SC Farense (POR)</t>
  </si>
  <si>
    <t>WILLY SEMEDO Willy Johnson SEMEDO AFONSO SEMEDO</t>
  </si>
  <si>
    <t>27/04/1994</t>
  </si>
  <si>
    <t>AC Omonia (CYP)</t>
  </si>
  <si>
    <t>TELMO ARCANJO Telmo Emanuel GOMES ARCANJO ARCANJO</t>
  </si>
  <si>
    <t>21/06/2001</t>
  </si>
  <si>
    <t>Vitória SC (POR)</t>
  </si>
  <si>
    <t>DAILON LIVRAMENTO Dailon ROCHA LIVRAMENTO LIVRAMENTO</t>
  </si>
  <si>
    <t>Casa Pia AC (POR)</t>
  </si>
  <si>
    <t>RYAN MENDES Ryan Isaac DA GRACA MENDES RYAN</t>
  </si>
  <si>
    <t>08/01/1990</t>
  </si>
  <si>
    <t>Iğdır FK (TUR)</t>
  </si>
  <si>
    <t>NUNO DA COSTA Nuno Miguel DA COSTA JOIA DA COSTA</t>
  </si>
  <si>
    <t>10/02/1991</t>
  </si>
  <si>
    <t>Başakşehir FK (TUR)</t>
  </si>
  <si>
    <t>STEVEN MOREIRA Steven MOREIRA MOREIRA</t>
  </si>
  <si>
    <t>13/08/1994</t>
  </si>
  <si>
    <t>Columbus Crew (USA)</t>
  </si>
  <si>
    <t>CJ DOS SANTOS Carlos Joaquim ANTUNES DOS SANTOS DOS SANTOS</t>
  </si>
  <si>
    <t>24/08/2000</t>
  </si>
  <si>
    <t>San Diego FC (USA)</t>
  </si>
  <si>
    <t>WAGNER PINA Wagner Fabricio CARDOSO DE PINA WAGNER P.</t>
  </si>
  <si>
    <t>03/11/2002</t>
  </si>
  <si>
    <t>Trabzonspor (TUR)</t>
  </si>
  <si>
    <t>KELVIN PIRES Kelvin SPENCER PIRES KELVIN</t>
  </si>
  <si>
    <t>05/06/2000</t>
  </si>
  <si>
    <t>SJK (FIN)</t>
  </si>
  <si>
    <t>FIN</t>
  </si>
  <si>
    <t>HELIO VARELA Hélio Sandro OLIVEIRA ALVES VARELA HÉLIO</t>
  </si>
  <si>
    <t>03/05/2002</t>
  </si>
  <si>
    <t>Maccabi Tel-Aviv FC (ISR)</t>
  </si>
  <si>
    <t>ISR</t>
  </si>
  <si>
    <t>CAN</t>
  </si>
  <si>
    <t>ST. CLAIR Dayne Dayne Tristan ST. CLAIR ST. CLAIR</t>
  </si>
  <si>
    <t>09/05/1997</t>
  </si>
  <si>
    <t>JOHNSTON Alistair Alistair William JOHNSTON JOHNSTON</t>
  </si>
  <si>
    <t>08/10/1998</t>
  </si>
  <si>
    <t>Celtic FC (SCO)</t>
  </si>
  <si>
    <t>JONES Ale Ale Charles JONES JONES</t>
  </si>
  <si>
    <t>07/10/1997</t>
  </si>
  <si>
    <t>Middlesbrough FC (ENG)</t>
  </si>
  <si>
    <t>DE FOUGEROLLES Luc Luc ROLLET DE FOUGEROLLES DE FOUGEROLLES</t>
  </si>
  <si>
    <t>12/10/2005</t>
  </si>
  <si>
    <t>FCV Dender EH (BEL)</t>
  </si>
  <si>
    <t>WATERMAN Joel Joel Robert WATERMAN WATERMAN</t>
  </si>
  <si>
    <t>24/01/1996</t>
  </si>
  <si>
    <t>Chicago Fire FC (USA)</t>
  </si>
  <si>
    <t>CHOINIERE Mathieu Mathieu CHOINIÈRE CHOINIÈRE</t>
  </si>
  <si>
    <t>07/02/1999</t>
  </si>
  <si>
    <t>LAFC (USA)</t>
  </si>
  <si>
    <t>EUSTAQUIO Stephen Stephen EUSTAQUIO EUSTÁQUIO</t>
  </si>
  <si>
    <t>21/12/1996</t>
  </si>
  <si>
    <t>KONE Ismael Ismaël Kenneth Jordan KONE KONÉ</t>
  </si>
  <si>
    <t>16/06/2002</t>
  </si>
  <si>
    <t>LARIN Cyle Cyle Christopher LARIN LARIN</t>
  </si>
  <si>
    <t>17/04/1995</t>
  </si>
  <si>
    <t>Southampton FC (ENG)</t>
  </si>
  <si>
    <t>DAVID Jonathan Jonathan Christian DAVID J. DAVID</t>
  </si>
  <si>
    <t>14/01/2000</t>
  </si>
  <si>
    <t>MILLAR Liam Liam Alan MILLAR MILLAR</t>
  </si>
  <si>
    <t>27/09/1999</t>
  </si>
  <si>
    <t>OLUWASEYI Tani Tanitoluwa Oluwatimilehin OLUWASEYI OLUWASEYI</t>
  </si>
  <si>
    <t>15/05/2000</t>
  </si>
  <si>
    <t>CORNELIUS Derek Derek Austin CORNELIUS CORNELIUS</t>
  </si>
  <si>
    <t>25/11/1997</t>
  </si>
  <si>
    <t>SHAFFELBURG Jacob Jacob Everett SHAFFELBURG SHAFFELBURG</t>
  </si>
  <si>
    <t>26/11/1999</t>
  </si>
  <si>
    <t>BOMBITO Moise Moïse Bombito LUMPUNGU BOMBITO</t>
  </si>
  <si>
    <t>30/03/2000</t>
  </si>
  <si>
    <t>CREPEAU Maxime Maxime CRÉPEAU CRÉPEAU</t>
  </si>
  <si>
    <t>11/05/1994</t>
  </si>
  <si>
    <t>Orlando City SC (USA)</t>
  </si>
  <si>
    <t>BUCHANAN Tajon Tajon Trevor BUCHANAN BUCHANAN</t>
  </si>
  <si>
    <t>08/02/1999</t>
  </si>
  <si>
    <t>GOODMAN Owen Owen Olamidayo GOODMAN GOODMAN</t>
  </si>
  <si>
    <t>27/11/2003</t>
  </si>
  <si>
    <t>Barnsley (ENG)</t>
  </si>
  <si>
    <t>DAVIES Alphonso Alphonso Boyle DAVIES DAVIES</t>
  </si>
  <si>
    <t>02/11/2000</t>
  </si>
  <si>
    <t>AHMED Ali Ali AHMED AHMED</t>
  </si>
  <si>
    <t>10/10/2000</t>
  </si>
  <si>
    <t>OSORIO Jonathan Jonathan OSORIO OSORIO</t>
  </si>
  <si>
    <t>12/06/1992</t>
  </si>
  <si>
    <t>Toronto FC (CAN)</t>
  </si>
  <si>
    <t>LARYEA Richie Richmond Mamah LARYEA LARYEA</t>
  </si>
  <si>
    <t>07/01/1995</t>
  </si>
  <si>
    <t>SIGUR Niko Niko Kristian SIGUR SIGUR</t>
  </si>
  <si>
    <t>09/09/2003</t>
  </si>
  <si>
    <t>HNK Hajduk Split (CRO)</t>
  </si>
  <si>
    <t>DAVID Promise Promise Oluwatobi Emmanuel DAVID PROMISE</t>
  </si>
  <si>
    <t>03/07/2001</t>
  </si>
  <si>
    <t>Royale Union Saint-Gilloise (BEL)</t>
  </si>
  <si>
    <t>SALIBA Nathan Nathan-Dylan SALIBA SALIBA</t>
  </si>
  <si>
    <t>07/02/2004</t>
  </si>
  <si>
    <t>RSC Anderlecht (BEL)</t>
  </si>
  <si>
    <t>NELSON Jayden Jayden NELSON NELSON</t>
  </si>
  <si>
    <t>26/09/2002</t>
  </si>
  <si>
    <t>Austin FC (USA)</t>
  </si>
  <si>
    <t>COL</t>
  </si>
  <si>
    <t>OSPINA David David OSPINA RAMIREZ OSPINA</t>
  </si>
  <si>
    <t>31/08/1988</t>
  </si>
  <si>
    <t>Atlético Nacional (COL)</t>
  </si>
  <si>
    <t>MUNOZ Daniel Daniel MUÑOZ MEJIA D. MUÑOZ</t>
  </si>
  <si>
    <t>26/05/1996</t>
  </si>
  <si>
    <t>Crystal Palace FC (ENG)</t>
  </si>
  <si>
    <t>LUCUMI Jhon Jhon Janer LUCUMI BONILLA J. LUCUMI</t>
  </si>
  <si>
    <t>26/06/1998</t>
  </si>
  <si>
    <t>Bologna FC (ITA)</t>
  </si>
  <si>
    <t>ARIAS Santiago Santiago ARIAS NARANJO ARIAS</t>
  </si>
  <si>
    <t>13/01/1992</t>
  </si>
  <si>
    <t>CA Independiente (ARG)</t>
  </si>
  <si>
    <t>CASTANO Kevin Kevin Duvan CASTAÑO GIL K. CASTAÑO</t>
  </si>
  <si>
    <t>29/09/2000</t>
  </si>
  <si>
    <t>RIOS Richard Richard RÍOS MONTOYA RICHARD RIOS</t>
  </si>
  <si>
    <t>02/06/2000</t>
  </si>
  <si>
    <t>DIAZ Luis Luis Fernando DÍAZ MARULANDA LUIS DIAZ</t>
  </si>
  <si>
    <t>13/01/1997</t>
  </si>
  <si>
    <t>CARRASCAL Jorge Jorge Andres CARRASCAL GUARDO CARRASCAL</t>
  </si>
  <si>
    <t>25/05/1998</t>
  </si>
  <si>
    <t>CORDOBA Jhon Jhon Andrés CÓRDOBA COPETE CORDOBA</t>
  </si>
  <si>
    <t>11/05/1993</t>
  </si>
  <si>
    <t>RODRIGUEZ James James David RODRÍGUEZ RUBIO JAMES</t>
  </si>
  <si>
    <t>12/07/1991</t>
  </si>
  <si>
    <t>Minnesota United FC (USA)</t>
  </si>
  <si>
    <t>ARIAS Jhon Jhon Adolfo ARIAS ANDRADE J. ARIAS</t>
  </si>
  <si>
    <t>21/09/1997</t>
  </si>
  <si>
    <t>VARGAS Camilo Camilo Andres VARGAS GIL C. VARGAS</t>
  </si>
  <si>
    <t>09/03/1989</t>
  </si>
  <si>
    <t>Atlas FC (MEX)</t>
  </si>
  <si>
    <t>MEX</t>
  </si>
  <si>
    <t>MINA Yerry Yerry Fernando MINA GONZALEZ Y. MINA</t>
  </si>
  <si>
    <t>23/09/1994</t>
  </si>
  <si>
    <t>Cagliari (ITA)</t>
  </si>
  <si>
    <t>PUERTA Gustavo Gustavo Adolfo PUERTA MOLANO PUERTA</t>
  </si>
  <si>
    <t>23/07/2003</t>
  </si>
  <si>
    <t>Racing Santander (ESP)</t>
  </si>
  <si>
    <t>PORTILLA Juan Juan Camilo PORTILLA OROZCO PORTILLA</t>
  </si>
  <si>
    <t>12/09/1998</t>
  </si>
  <si>
    <t>Athletico Paranaense (BRA)</t>
  </si>
  <si>
    <t>LERMA Jefferson Jefferson Andrés LERMA SOLIS J. LERMA</t>
  </si>
  <si>
    <t>25/10/1994</t>
  </si>
  <si>
    <t>MOJICA Johan Johan Andrés MOJICA PALACIO J. MOJICA</t>
  </si>
  <si>
    <t>21/08/1992</t>
  </si>
  <si>
    <t>RCD Mallorca (ESP)</t>
  </si>
  <si>
    <t>DITTA Willer Willer Emilio DITTA PEREZ W. DITTA</t>
  </si>
  <si>
    <t>23/01/1998</t>
  </si>
  <si>
    <t>CF Cruz Azul (MEX)</t>
  </si>
  <si>
    <t>HERNANDEZ Cucho Juan Camilo HERNANDEZ SUAREZ C. HERNANDEZ</t>
  </si>
  <si>
    <t>20/04/1999</t>
  </si>
  <si>
    <t>QUINTERO Juan Juan Fernando QUINTERO PANIAGUA QUINTERO</t>
  </si>
  <si>
    <t>18/01/1993</t>
  </si>
  <si>
    <t>CAMPAZ Jaminton Jaminton Leandro CAMPAZ CAMPAZ</t>
  </si>
  <si>
    <t>24/05/2000</t>
  </si>
  <si>
    <t>CA Rosario Central (ARG)</t>
  </si>
  <si>
    <t>MACHADO Deiver Deiver MACHADO MENA MACHADO</t>
  </si>
  <si>
    <t>02/09/1993</t>
  </si>
  <si>
    <t>FC Nantes (FRA)</t>
  </si>
  <si>
    <t>SANCHEZ Davinson Davinson SÁNCHEZ MINA SANCHEZ</t>
  </si>
  <si>
    <t>12/06/1996</t>
  </si>
  <si>
    <t>Galatasaray SK (TUR)</t>
  </si>
  <si>
    <t>MONTERO Alvaro Álvaro David MONTERO PERALES MONTERO</t>
  </si>
  <si>
    <t>29/03/1995</t>
  </si>
  <si>
    <t>CA Vélez Sarseld (ARG)</t>
  </si>
  <si>
    <t>SUAREZ Luis Luis Javier SUÁREZ CHARRIS SUAREZ</t>
  </si>
  <si>
    <t>02/12/1997</t>
  </si>
  <si>
    <t>GOMEZ Andres Carlos Andrés GÓMEZ HINESTROZA A. GOMEZ</t>
  </si>
  <si>
    <t>12/09/2002</t>
  </si>
  <si>
    <t>CR Vasco Da Gama (BRA)</t>
  </si>
  <si>
    <t>COD</t>
  </si>
  <si>
    <t>MPASI Lionel Lionel Nzau MPASI MPASI</t>
  </si>
  <si>
    <t>01/08/1994</t>
  </si>
  <si>
    <t>Le Havre AC (FRA)</t>
  </si>
  <si>
    <t>WAN-BISSAKA Aaron Wan BISSAKA WAN BISSAKA</t>
  </si>
  <si>
    <t>26/11/1997</t>
  </si>
  <si>
    <t>West Ham United FC (ENG)</t>
  </si>
  <si>
    <t>KAPUADI Steve Steve Nkanu KAPUADI KAPUADI</t>
  </si>
  <si>
    <t>30/04/1998</t>
  </si>
  <si>
    <t>Widzew Łódź (POL)</t>
  </si>
  <si>
    <t>TUANZEBE Axel Axel TUANZEBE TUANZEBE</t>
  </si>
  <si>
    <t>14/11/1997</t>
  </si>
  <si>
    <t>Burnley FC (ENG)</t>
  </si>
  <si>
    <t>BATUBINSIKA Dylan Dylan Buduka BATUBINSIKA BATUBINSIKA</t>
  </si>
  <si>
    <t>15/02/1996</t>
  </si>
  <si>
    <t>AEL FC (GRE)</t>
  </si>
  <si>
    <t>GRE</t>
  </si>
  <si>
    <t>MUKAU Ngalayel Ngal’ayel MUKAU MUKAU</t>
  </si>
  <si>
    <t>03/11/2004</t>
  </si>
  <si>
    <t>MBUKU Nathanael Nathanaël MBUKU MBUKU</t>
  </si>
  <si>
    <t>16/03/2002</t>
  </si>
  <si>
    <t>Montpellier HSC (FRA)</t>
  </si>
  <si>
    <t>MOUTOUSSAMY Samuel Samuel Alain MOUTOUSSAMY MOUTOUSSAMY</t>
  </si>
  <si>
    <t>12/08/1996</t>
  </si>
  <si>
    <t>Atromitos FC (GRE)</t>
  </si>
  <si>
    <t>CIPENGA Brian Kibambe Brian CIPENGA CIPENGA</t>
  </si>
  <si>
    <t>11/03/1998</t>
  </si>
  <si>
    <t>BONGONDA Theo Theo Mbulofeko Batombo BONGONDA BONGONDA</t>
  </si>
  <si>
    <t>20/11/1995</t>
  </si>
  <si>
    <t>FC Spartak Moscow (RUS)</t>
  </si>
  <si>
    <t>KAKUTA Gael Mambenga Gaël Roméo KAKUTA KAKUTA</t>
  </si>
  <si>
    <t>21/06/1991</t>
  </si>
  <si>
    <t>KAYEMBE Joris Joris KAYEMBE-DITU J. KAYEMBE</t>
  </si>
  <si>
    <t>08/08/1994</t>
  </si>
  <si>
    <t>KRC Genk (BEL)</t>
  </si>
  <si>
    <t>ELIA Meschack Meschack Lina ELIA MESCHACK</t>
  </si>
  <si>
    <t>06/08/1997</t>
  </si>
  <si>
    <t>Alanyaspor (TUR)</t>
  </si>
  <si>
    <t>SADIKI Noah Noah Junior SADIKI SADIKI</t>
  </si>
  <si>
    <t>17/12/2004</t>
  </si>
  <si>
    <t>Sunderland AFC (ENG)</t>
  </si>
  <si>
    <t>TSHIBOLA Aaron Tshibola AARON TSHIBOLA</t>
  </si>
  <si>
    <t>02/01/1995</t>
  </si>
  <si>
    <t>Kilmarnock FC (SCO)</t>
  </si>
  <si>
    <t>FAYULU Timothy Timothy Bruce Munzoko FAYULU FAYULU</t>
  </si>
  <si>
    <t>24/07/1999</t>
  </si>
  <si>
    <t>FC Noah (ARM)</t>
  </si>
  <si>
    <t>ARM</t>
  </si>
  <si>
    <t>BAKAMBU Cedric Cedric BAKAMBU BAKAMBU</t>
  </si>
  <si>
    <t>11/04/1991</t>
  </si>
  <si>
    <t>PICKEL Charles Charles Monginda PICKEL PICKEL</t>
  </si>
  <si>
    <t>15/05/1997</t>
  </si>
  <si>
    <t>RCD Espanyol (ESP)</t>
  </si>
  <si>
    <t>MAYELE Fiston Mayele Fiston KALALA MAYELE</t>
  </si>
  <si>
    <t>24/06/1994</t>
  </si>
  <si>
    <t>Pyramids FC (EGY)</t>
  </si>
  <si>
    <t>EGY</t>
  </si>
  <si>
    <t>WISSA Yoane Yoane WISSA WISSA</t>
  </si>
  <si>
    <t>03/09/1996</t>
  </si>
  <si>
    <t>EPOLO Matthieu Matthieu Luka EPOLO EPOLO</t>
  </si>
  <si>
    <t>15/01/2005</t>
  </si>
  <si>
    <t>Standard Liège (BEL)</t>
  </si>
  <si>
    <t>MBEMBA Chancel Mangulu Chancel MBEMBA MBEMBA</t>
  </si>
  <si>
    <t>BANZA Simon Simon Bokote BANZA BANZA</t>
  </si>
  <si>
    <t>13/08/1996</t>
  </si>
  <si>
    <t>Al Jazira (UAE)</t>
  </si>
  <si>
    <t>KALULU Gedeon Gédéon Tchingoma Kyatengwa KALULU KALULU</t>
  </si>
  <si>
    <t>29/08/1997</t>
  </si>
  <si>
    <t>Aris Limassol FC (CYP)</t>
  </si>
  <si>
    <t>KAYEMBE Edo Edo Kayembe KAYEMBE E. KAYEMBE</t>
  </si>
  <si>
    <t>03/06/1998</t>
  </si>
  <si>
    <t>MASUAKU Arthur Arthur Fuka MASUAKU KAWELA MASUAKU</t>
  </si>
  <si>
    <t>07/11/1993</t>
  </si>
  <si>
    <t>RC Lens (FRA)</t>
  </si>
  <si>
    <t>Côte D'Ivoire</t>
  </si>
  <si>
    <t>CIV</t>
  </si>
  <si>
    <t>FOFANA Yahia Yahia FOFANA Y. FOFANA</t>
  </si>
  <si>
    <t>21/08/2000</t>
  </si>
  <si>
    <t>Çaykur Rizespor (TUR)</t>
  </si>
  <si>
    <t>DIOMANDE Ousmane Ousmane DIOMANDE O. DIOMANDE</t>
  </si>
  <si>
    <t>04/12/2003</t>
  </si>
  <si>
    <t>KONAN Ghislain N'clomande Ghislain KONAN G. KONAN</t>
  </si>
  <si>
    <t>27/12/1995</t>
  </si>
  <si>
    <t>Gil Vicente FC (POR)</t>
  </si>
  <si>
    <t>SERI Jean Michael Jean Michael SERI SERI</t>
  </si>
  <si>
    <t>19/07/1991</t>
  </si>
  <si>
    <t>NK Maribor (SVN)</t>
  </si>
  <si>
    <t>SVN</t>
  </si>
  <si>
    <t>SINGO Wilfried Wilfried Stephane SINGO SINGO</t>
  </si>
  <si>
    <t>25/12/2000</t>
  </si>
  <si>
    <t>FOFANA Seko Seko Mohamed FOFANA FOFANA</t>
  </si>
  <si>
    <t>07/05/1995</t>
  </si>
  <si>
    <t>FC Porto (POR)</t>
  </si>
  <si>
    <t>KOSSOUNOU Odilon Kouakou Odilon Dorgeless KOSSOUNOU KOSSOUNOU</t>
  </si>
  <si>
    <t>04/01/2001</t>
  </si>
  <si>
    <t>KESSIE Franck Franck Yannick KESSIE KESSIE</t>
  </si>
  <si>
    <t>19/12/1996</t>
  </si>
  <si>
    <t>BONNY Ange-Yoan Ange-Yoan Laurent BONNY BONNY</t>
  </si>
  <si>
    <t>25/10/2003</t>
  </si>
  <si>
    <t>ADINGRA Simon Simon ADINGRA ADINGRA</t>
  </si>
  <si>
    <t>01/01/2002</t>
  </si>
  <si>
    <t>AS Monaco (FRA)</t>
  </si>
  <si>
    <t>DIOMANDE Yan Yan DIOMANDE YAN DIOMANDE</t>
  </si>
  <si>
    <t>14/11/2006</t>
  </si>
  <si>
    <t>WAHI Elye Sepe Elye Delmas WAHI WAHI</t>
  </si>
  <si>
    <t>02/01/2003</t>
  </si>
  <si>
    <t>OPERI Christopher Christopher Tea Domoraud OPERI OPERI</t>
  </si>
  <si>
    <t>29/04/1997</t>
  </si>
  <si>
    <t>DIAKITE Oumar Oumar DIAKITE DIAKITE</t>
  </si>
  <si>
    <t>20/12/2003</t>
  </si>
  <si>
    <t>Cercle Brugge (BEL)</t>
  </si>
  <si>
    <t>DIALLO Amad Amad DIALLO AMAD</t>
  </si>
  <si>
    <t>11/07/2002</t>
  </si>
  <si>
    <t>KONE Mohamed Mohamed KONE KONE</t>
  </si>
  <si>
    <t>07/03/2002</t>
  </si>
  <si>
    <t>DOUE Guela Guela Maho-Lewis DOUE G. DOUE</t>
  </si>
  <si>
    <t>17/10/2002</t>
  </si>
  <si>
    <t>SANGARE Ibrahim Ibrahim SANGARE SANGARE</t>
  </si>
  <si>
    <t>Nottingham Forest FC (ENG)</t>
  </si>
  <si>
    <t>PEPE Nicolas Nicolas PEPE PEPE</t>
  </si>
  <si>
    <t>29/05/1995</t>
  </si>
  <si>
    <t>AGBADOU Emmanuel Badobre Emmanuel Elysee Djedje AGBADOU AGBADOU</t>
  </si>
  <si>
    <t>17/06/1997</t>
  </si>
  <si>
    <t>Beşiktaş JK (TUR)</t>
  </si>
  <si>
    <t>NDICKA Evan Obite Evan NDICKA NDICKA</t>
  </si>
  <si>
    <t>20/08/1999</t>
  </si>
  <si>
    <t>AS Roma (ITA)</t>
  </si>
  <si>
    <t>GUESSAND Evann Evann Ludovic Vidjannagni GUESSAND GUESSAND</t>
  </si>
  <si>
    <t>01/07/2001</t>
  </si>
  <si>
    <t>LAFONT Alban Alban-Marc LAFONT LAFONT</t>
  </si>
  <si>
    <t>23/01/1999</t>
  </si>
  <si>
    <t>Panathinaikos FC (GRE)</t>
  </si>
  <si>
    <t>TOURE Bazoumana Bazoumana TOURE TOURE</t>
  </si>
  <si>
    <t>02/03/2006</t>
  </si>
  <si>
    <t>GUIAGON Parfait Parfait GUIAGON GUIAGON</t>
  </si>
  <si>
    <t>22/02/2001</t>
  </si>
  <si>
    <t>OULAI Christ Inao Christ Ravynel Inao OULAI INAO</t>
  </si>
  <si>
    <t>06/04/2006</t>
  </si>
  <si>
    <t>LIVAKOVIC Dominik Dominik LIVAKOVIĆ LIVAKOVIĆ</t>
  </si>
  <si>
    <t>09/01/1995</t>
  </si>
  <si>
    <t>GNK Dinamo Zagreb (CRO)</t>
  </si>
  <si>
    <t>STANISIC Josip Josip STANIŠIĆ STANIŠIĆ</t>
  </si>
  <si>
    <t>02/04/2000</t>
  </si>
  <si>
    <t>PONGRACIC Marin Marin PONGRAČIĆ PONGRAČIĆ</t>
  </si>
  <si>
    <t>11/09/1997</t>
  </si>
  <si>
    <t>ACF Fiorentina (ITA)</t>
  </si>
  <si>
    <t>GVARDIOL Josko Joško GVARDIOL GVARDIOL</t>
  </si>
  <si>
    <t>23/01/2002</t>
  </si>
  <si>
    <t>CALETA-CAR Duje Duje ĆALETA-CAR ĆALETA-CAR</t>
  </si>
  <si>
    <t>17/09/1996</t>
  </si>
  <si>
    <t>Real Sociedad (ESP)</t>
  </si>
  <si>
    <t>SUTALO Josip Josip ŠUTALO ŠUTALO</t>
  </si>
  <si>
    <t>28/02/2000</t>
  </si>
  <si>
    <t>AFC Ajax (NED)</t>
  </si>
  <si>
    <t>MORO Nikola Nikola MORO MORO</t>
  </si>
  <si>
    <t>12/03/1998</t>
  </si>
  <si>
    <t>KOVACIC Mateo Mateo KOVAČIĆ KOVAČIĆ</t>
  </si>
  <si>
    <t>KRAMARIC Andrej Andrej KRAMARIĆ KRAMARIĆ</t>
  </si>
  <si>
    <t>19/06/1991</t>
  </si>
  <si>
    <t>MODRIC Luka Luka MODRIĆ MODRIĆ</t>
  </si>
  <si>
    <t>09/09/1985</t>
  </si>
  <si>
    <t>BUDIMIR Ante Ante BUDIMIR BUDIMIR</t>
  </si>
  <si>
    <t>22/07/1991</t>
  </si>
  <si>
    <t>CA Osasuna (ESP)</t>
  </si>
  <si>
    <t>PANDUR Ivor Ivor PANDUR PANDUR</t>
  </si>
  <si>
    <t>25/03/2000</t>
  </si>
  <si>
    <t>VLASIC Nikola Nikola VLAŠIĆ VLAŠIĆ</t>
  </si>
  <si>
    <t>04/10/1997</t>
  </si>
  <si>
    <t>Torino FC (ITA)</t>
  </si>
  <si>
    <t>PERISIC Ivan Ivan PERIŠIĆ PERIŠIĆ</t>
  </si>
  <si>
    <t>02/02/1989</t>
  </si>
  <si>
    <t>PASALIC Mario Mario PAŠALIĆ PAŠALIĆ</t>
  </si>
  <si>
    <t>09/02/1995</t>
  </si>
  <si>
    <t>BATURINA Martin Martin BATURINA BATURINA</t>
  </si>
  <si>
    <t>16/02/2003</t>
  </si>
  <si>
    <t>SUCIC Petar Petar SUČIĆ P. SUČIĆ</t>
  </si>
  <si>
    <t>JAKIC Kristijan Kristijan JAKIĆ JAKIĆ</t>
  </si>
  <si>
    <t>FRUK Toni Toni FRUK FRUK</t>
  </si>
  <si>
    <t>09/03/2001</t>
  </si>
  <si>
    <t>MATANOVIC Igor Igor MATANOVIĆ MATANOVIĆ</t>
  </si>
  <si>
    <t>31/03/2003</t>
  </si>
  <si>
    <t>SUCIC Luka Luka SUČIĆ SUČIĆ</t>
  </si>
  <si>
    <t>08/09/2002</t>
  </si>
  <si>
    <t>VUSKOVIC Luka Luka VUŠKOVIĆ VUŠKOVIĆ</t>
  </si>
  <si>
    <t>24/02/2007</t>
  </si>
  <si>
    <t>Hamburger SV (GER)</t>
  </si>
  <si>
    <t>KOTARSKI Dominik Dominik KOTARSKI KOTARSKI</t>
  </si>
  <si>
    <t>10/02/2000</t>
  </si>
  <si>
    <t>FC København (DEN)</t>
  </si>
  <si>
    <t>PASALIC Marco Marco PAŠALIĆ M. PAŠALIĆ</t>
  </si>
  <si>
    <t>14/09/2000</t>
  </si>
  <si>
    <t>ERLIC Martin Martin ERLIĆ ERLIĆ</t>
  </si>
  <si>
    <t>24/01/1998</t>
  </si>
  <si>
    <t>FC Midtjylland (DEN)</t>
  </si>
  <si>
    <t>MUSA Petar Petar MUSA MUSA</t>
  </si>
  <si>
    <t>04/03/1998</t>
  </si>
  <si>
    <t>FC Dallas (USA)</t>
  </si>
  <si>
    <t>CUW</t>
  </si>
  <si>
    <t>ROOM Eloy Eloy Victor ROOM ROOM</t>
  </si>
  <si>
    <t>06/02/1989</t>
  </si>
  <si>
    <t>Miami FC (USA)</t>
  </si>
  <si>
    <t>SAMBO Shurandy Shurandy Ruggerio SAMBO SAMBO</t>
  </si>
  <si>
    <t>19/08/2001</t>
  </si>
  <si>
    <t>Sparta Rotterdam (NED)</t>
  </si>
  <si>
    <t>GAARI Jurien Juriën Godfried Juan GAARI GAARI</t>
  </si>
  <si>
    <t>23/12/1993</t>
  </si>
  <si>
    <t>Abha Club (KSA)</t>
  </si>
  <si>
    <t>VAN EIJMA Roshon Róshón Felix Romar Jordan VAN EIJMA VAN EIJMA</t>
  </si>
  <si>
    <t>09/06/1998</t>
  </si>
  <si>
    <t>RKC Waalwijk (NED)</t>
  </si>
  <si>
    <t>FLORANUS Sherel Sherel Constancio FLORANUS FLORANUS</t>
  </si>
  <si>
    <t>23/08/1998</t>
  </si>
  <si>
    <t>ROEMERATOE Godfried Godfried ROEMERATOE ROEMERATOE</t>
  </si>
  <si>
    <t>19/08/1999</t>
  </si>
  <si>
    <t>BACUNA Juninho Juninho Gracielo BACUNA J. BACUNA</t>
  </si>
  <si>
    <t>07/08/1997</t>
  </si>
  <si>
    <t>FC Volendam (NED)</t>
  </si>
  <si>
    <t>COMENENCIA Livano Livano Shyron Liomar COMENENCIA COMENENCIA</t>
  </si>
  <si>
    <t>03/02/2004</t>
  </si>
  <si>
    <t>FC Zürich (SUI)</t>
  </si>
  <si>
    <t>LOCADIA Juergen Jürgen Leonardo LOCADIA LOCADIA</t>
  </si>
  <si>
    <t>BACUNA Leandro Leandro Jones Johan BACUNA L. BACUNA</t>
  </si>
  <si>
    <t>21/08/1991</t>
  </si>
  <si>
    <t>ANTONISSE Jeremy Jeremy Cornelis Jacobus ANTONISSE ANTONISSE</t>
  </si>
  <si>
    <t>29/03/2002</t>
  </si>
  <si>
    <t>AE Kisia FC (GRE)</t>
  </si>
  <si>
    <t>HANSEN Sontje Misjonne Juniffer Naigelino HANSEN HANSEN</t>
  </si>
  <si>
    <t>18/05/2002</t>
  </si>
  <si>
    <t>NOSLIN Tyrese Tyrese Yurvencey NOSLIN NOSLIN</t>
  </si>
  <si>
    <t>11/09/2002</t>
  </si>
  <si>
    <t>SC Telstar (NED)</t>
  </si>
  <si>
    <t>GORRE Kenji Kenji Joël GORRÉ GORRÉ</t>
  </si>
  <si>
    <t>29/09/1994</t>
  </si>
  <si>
    <t>Maccabi Haifa FC (ISR)</t>
  </si>
  <si>
    <t>MARTHA Arjany Ar'jany Jainel Archenir MARTHA MARTHA</t>
  </si>
  <si>
    <t>04/09/2003</t>
  </si>
  <si>
    <t>Rotherham United FC (ENG)</t>
  </si>
  <si>
    <t>MARGARITHA Jearl Jearl Erwin MARGARITHA MARGARITHA</t>
  </si>
  <si>
    <t>10/04/2000</t>
  </si>
  <si>
    <t>SK Beveren (BEL)</t>
  </si>
  <si>
    <t>KUWAS Brandley Brandley Mack-Olien KUWAS KUWAS</t>
  </si>
  <si>
    <t>19/09/1992</t>
  </si>
  <si>
    <t>OBISPO Armando Armando Maria OBISPO OBISPO</t>
  </si>
  <si>
    <t>05/03/1999</t>
  </si>
  <si>
    <t>KASTANEER Gervane Gervane Zjandric Adonnis KASTANEER KASTANEER</t>
  </si>
  <si>
    <t>09/06/1996</t>
  </si>
  <si>
    <t>Terengganu FC (MAS)</t>
  </si>
  <si>
    <t>MAS</t>
  </si>
  <si>
    <t>BRENET Joshua Joshua Benjamin BRENET BRENET</t>
  </si>
  <si>
    <t>20/03/1994</t>
  </si>
  <si>
    <t>Kayserispor (TUR)</t>
  </si>
  <si>
    <t>CHONG Tahith Tahith Jose Girigorio Djorkaef CHONG CHONG</t>
  </si>
  <si>
    <t>04/12/1999</t>
  </si>
  <si>
    <t>Sheeld United FC (ENG)</t>
  </si>
  <si>
    <t>FELIDA Kevin Kevin Antonio FELIDA FELIDA</t>
  </si>
  <si>
    <t>11/11/1999</t>
  </si>
  <si>
    <t>FC Den Bosch (NED)</t>
  </si>
  <si>
    <t>BAZOER Riechedly Riechedly Guillermo BAZOER BAZOER</t>
  </si>
  <si>
    <t>12/10/1996</t>
  </si>
  <si>
    <t>Konyaspor (TUR)</t>
  </si>
  <si>
    <t>FONVILLE Deveron Deveron Lenny FONVILLE FONVILLE</t>
  </si>
  <si>
    <t>16/05/2003</t>
  </si>
  <si>
    <t>NEC Nijmegen (NED)</t>
  </si>
  <si>
    <t>BODAK Tyrick Tyrick Jeremy BODAK BODAK</t>
  </si>
  <si>
    <t>15/05/2002</t>
  </si>
  <si>
    <t>DOORNBUSCH Trevor Trevor Irving DOORNBUSCH DOORNBUSCH</t>
  </si>
  <si>
    <t>06/07/1999</t>
  </si>
  <si>
    <t>VVV Venlo (NED)</t>
  </si>
  <si>
    <t>KOVAR Matej Matěj KOVÁŘ KOVÁŘ</t>
  </si>
  <si>
    <t>17/05/2000</t>
  </si>
  <si>
    <t>ZIMA David David ZIMA ZIMA</t>
  </si>
  <si>
    <t>08/11/2000</t>
  </si>
  <si>
    <t>SK Slavia Praha (CZE)</t>
  </si>
  <si>
    <t>HOLES Tomas Tomáš HOLEŠ HOLEŠ</t>
  </si>
  <si>
    <t>31/03/1993</t>
  </si>
  <si>
    <t>HRANAC Robin Robin HRANÁČ HRANÁČ</t>
  </si>
  <si>
    <t>29/01/2000</t>
  </si>
  <si>
    <t>COUFAL Vladimir Vladimír COUFAL COUFAL</t>
  </si>
  <si>
    <t>22/08/1992</t>
  </si>
  <si>
    <t>CHALOUPEK Stepan Štěpán CHALOUPEK CHALOUPEK</t>
  </si>
  <si>
    <t>08/03/2003</t>
  </si>
  <si>
    <t>KREJCI Ladislav Ladislav KREJČÍ KREJČÍ</t>
  </si>
  <si>
    <t>Wolverhampton Wanderers FC (ENG)</t>
  </si>
  <si>
    <t>DARIDA Vladimir Vladimír DARIDA DARIDA</t>
  </si>
  <si>
    <t>08/08/1990</t>
  </si>
  <si>
    <t>FC Hradec Králové (CZE)</t>
  </si>
  <si>
    <t>HLOZEK Adam Adam HLOŽEK HLOŽEK</t>
  </si>
  <si>
    <t>25/07/2002</t>
  </si>
  <si>
    <t>SCHICK Patrik Patrik SCHICK SCHICK</t>
  </si>
  <si>
    <t>KUCHTA Jan Jan KUCHTA KUCHTA</t>
  </si>
  <si>
    <t>08/01/1997</t>
  </si>
  <si>
    <t>AC Sparta Praha (CZE)</t>
  </si>
  <si>
    <t>CERV Lukas Lukáš ČERV ČERV</t>
  </si>
  <si>
    <t>10/04/2001</t>
  </si>
  <si>
    <t>CHYTIL Mojmir Mojmír CHYTIL CHYTIL</t>
  </si>
  <si>
    <t>29/04/1999</t>
  </si>
  <si>
    <t>JURASEK David David JURÁSEK JURÁSEK</t>
  </si>
  <si>
    <t>07/08/2000</t>
  </si>
  <si>
    <t>SULC Pavel Pavel ŠULC ŠULC</t>
  </si>
  <si>
    <t>29/12/2000</t>
  </si>
  <si>
    <t>STANEK Jindrich Jindřich STANĚK STANĚK</t>
  </si>
  <si>
    <t>27/04/1996</t>
  </si>
  <si>
    <t>PROVOD Lukas Lukáš PROVOD PROVOD</t>
  </si>
  <si>
    <t>23/10/1996</t>
  </si>
  <si>
    <t>SADILEK Michal Michal SADÍLEK SADÍLEK</t>
  </si>
  <si>
    <t>31/05/1999</t>
  </si>
  <si>
    <t>CHORY Tomas Tomáš CHORÝ CHORÝ</t>
  </si>
  <si>
    <t>26/01/1995</t>
  </si>
  <si>
    <t>ZELENY Jaroslav Jaroslav ZELENÝ ZELENÝ</t>
  </si>
  <si>
    <t>20/08/1992</t>
  </si>
  <si>
    <t>DOUDERA David David DOUDĚRA DOUDĚRA</t>
  </si>
  <si>
    <t>31/05/1998</t>
  </si>
  <si>
    <t>SOUCEK Tomas Tomáš SOUČEK SOUČEK</t>
  </si>
  <si>
    <t>27/02/1995</t>
  </si>
  <si>
    <t>HORNICEK Lukas Lukáš HORNÍČEK HORNÍČEK</t>
  </si>
  <si>
    <t>13/07/2002</t>
  </si>
  <si>
    <t>SOJKA Alexandr Alexandr SOJKA SOJKA</t>
  </si>
  <si>
    <t>02/04/2003</t>
  </si>
  <si>
    <t>SOCHUREK Hugo Hugo SOCHŮREK SOCHŮREK</t>
  </si>
  <si>
    <t>07/06/2008</t>
  </si>
  <si>
    <t>VISINSKY Denis Denis VIŠINSKÝ VIŠINSKÝ</t>
  </si>
  <si>
    <t>21/03/2003</t>
  </si>
  <si>
    <t>ECU</t>
  </si>
  <si>
    <t>GALINDEZ Hernan Hernán Ismael GALÍNDEZ GALINDEZ</t>
  </si>
  <si>
    <t>30/03/1987</t>
  </si>
  <si>
    <t>CA Huracán (ARG)</t>
  </si>
  <si>
    <t>TORRES Felix Félix Eduardo TORRES CAICEDO TORRES</t>
  </si>
  <si>
    <t>11/01/1997</t>
  </si>
  <si>
    <t>SC Internacional (BRA)</t>
  </si>
  <si>
    <t>HINCAPIE Piero Piero Martin HINCAPIÉ REYNA HINCAPIE</t>
  </si>
  <si>
    <t>09/01/2002</t>
  </si>
  <si>
    <t>ORDONEZ Joel Joel Leandro ORDÓÑEZ GUERRERO ORDÓÑEZ</t>
  </si>
  <si>
    <t>21/04/2004</t>
  </si>
  <si>
    <t>ALCIVAR Jordy Jordy Jose ALCÍVAR MACÍAS ALCIVAR</t>
  </si>
  <si>
    <t>05/08/1999</t>
  </si>
  <si>
    <t>Independiente Del Valle (ECU)</t>
  </si>
  <si>
    <t>PACHO Willian Willian Joel PACHO TENORIO PACHO</t>
  </si>
  <si>
    <t>16/10/2001</t>
  </si>
  <si>
    <t>ESTUPINAN Pervis Pervis Josue ESTUPIÑÁN TENORIO ESTUPIÑÁN</t>
  </si>
  <si>
    <t>21/01/1998</t>
  </si>
  <si>
    <t>VALENCIA Anthony Anthony Lenin VALENCIA BAJAÑA A. VALENCIA</t>
  </si>
  <si>
    <t>21/07/2003</t>
  </si>
  <si>
    <t>Royal Antwerp FC (BEL)</t>
  </si>
  <si>
    <t>YEBOAH John John YEBOAH ZAMORA YEBOAH ZAMORA</t>
  </si>
  <si>
    <t>23/06/2000</t>
  </si>
  <si>
    <t>PAEZ Kendry Ray Kendry PAEZ ANDRADE KENDRY</t>
  </si>
  <si>
    <t>04/05/2007</t>
  </si>
  <si>
    <t>RODRIGUEZ Kevin Kevin Jose RODRÍGUEZ CORTEZ RODRIGUEZ</t>
  </si>
  <si>
    <t>04/03/2000</t>
  </si>
  <si>
    <t>RAMIREZ Moises Wellington Moisés RAMÍREZ PRECIADO RAMÍREZ</t>
  </si>
  <si>
    <t>09/09/2000</t>
  </si>
  <si>
    <t>VALENCIA Enner Enner Remberto VALENCIA LASTRA E. VALENCIA</t>
  </si>
  <si>
    <t>04/11/1989</t>
  </si>
  <si>
    <t>CF Pachuca (MEX)</t>
  </si>
  <si>
    <t>MINDA Alan Alan Steve MINDA GARCIA MINDA</t>
  </si>
  <si>
    <t>14/05/2003</t>
  </si>
  <si>
    <t>Atlético Mineiro (BRA)</t>
  </si>
  <si>
    <t>VITE Pedro Pedro Jeampierre VITE UCA VITE</t>
  </si>
  <si>
    <t>09/03/2002</t>
  </si>
  <si>
    <t>Pumas UNAM (MEX)</t>
  </si>
  <si>
    <t>CAICEDO Jordy Jordy Josue CAICEDO MEDINA J. CAICEDO</t>
  </si>
  <si>
    <t>18/11/1997</t>
  </si>
  <si>
    <t>PRECIADO Angelo Ángelo Smit PRECIADO QUIÑONEZ PRECIADO</t>
  </si>
  <si>
    <t>18/02/1998</t>
  </si>
  <si>
    <t>CASTILLO Denil Denil Daniel CASTILLO PRECIADO CASTILLO</t>
  </si>
  <si>
    <t>24/03/2004</t>
  </si>
  <si>
    <t>PLATA Gonzalo Gonzalo Jordy PLATA JIMENEZ PLATA</t>
  </si>
  <si>
    <t>01/11/2000</t>
  </si>
  <si>
    <t>ANGULO Nilson Nilson David ANGULO RAMIREZ ANGULO</t>
  </si>
  <si>
    <t>19/06/2003</t>
  </si>
  <si>
    <t>FRANCO Alan Alan Steven FRANCO PALMA FRANCO</t>
  </si>
  <si>
    <t>21/08/1998</t>
  </si>
  <si>
    <t>VALLE Gonzalo Gonzalo Roberto VALLE BUSTAMANTE VALLE</t>
  </si>
  <si>
    <t>28/02/1996</t>
  </si>
  <si>
    <t>LDU Quito (ECU)</t>
  </si>
  <si>
    <t>CAICEDO Moises Moisés Isaac CAICEDO COROZO M. CAICEDO</t>
  </si>
  <si>
    <t>02/11/2001</t>
  </si>
  <si>
    <t>AREVALO Jeremy Jeremy Alberto AREVALO MERA AREVALO</t>
  </si>
  <si>
    <t>19/03/2005</t>
  </si>
  <si>
    <t>POROZO Jackson Jackson Gabriel POROZO VERNAZA POROZO</t>
  </si>
  <si>
    <t>04/08/2000</t>
  </si>
  <si>
    <t>Club Tijuana (MEX)</t>
  </si>
  <si>
    <t>MEDINA Yaimar Yaimar Abel MEDINA ORTIZ MEDINA</t>
  </si>
  <si>
    <t>05/11/2004</t>
  </si>
  <si>
    <t>MOHAMED ELSHENAWY Mohamed Elsayed Mohamed ELSHENAWY GOMAA M. ELSHENAWY</t>
  </si>
  <si>
    <t>18/12/1988</t>
  </si>
  <si>
    <t>Al Ahly FC (EGY)</t>
  </si>
  <si>
    <t>YASSER IBRAHIM Yasser Ahmed Ibrahim ELHANAFY YASSER</t>
  </si>
  <si>
    <t>10/02/1993</t>
  </si>
  <si>
    <t>MOHAMED HANY Mohamed Hany Gamal ELDEMERDASH M. HANY</t>
  </si>
  <si>
    <t>02/02/1996</t>
  </si>
  <si>
    <t>HOSSAM ABDELMAGUID Hossam Abdelmegeed Abdelsalam ABDELMEGEED HOSSAM</t>
  </si>
  <si>
    <t>30/04/2001</t>
  </si>
  <si>
    <t>Zamalek SC (EGY)</t>
  </si>
  <si>
    <t>RAMY RABIA Ramy Hisham Abdelaziz Moustafa RABIA R. RABIA</t>
  </si>
  <si>
    <t>20/05/1993</t>
  </si>
  <si>
    <t>Al Ain FC (UAE)</t>
  </si>
  <si>
    <t>MOHAMED ABDELMONEIM Mohamed Abdelmoneim Elsayed M AHMED M. ABDELMONIEM</t>
  </si>
  <si>
    <t>01/02/1999</t>
  </si>
  <si>
    <t>TREZEGUET Mahmoud Ahmed Ibrahim HASSAN M. TREZEGUET</t>
  </si>
  <si>
    <t>01/10/1994</t>
  </si>
  <si>
    <t>EMAM ASHOUR Emam Ashour Metwaly ABDELGHANY E. ASHOUR</t>
  </si>
  <si>
    <t>20/02/1998</t>
  </si>
  <si>
    <t>HAMZA ABDELKARIM Hamza Mohamed Abdelkarim E SELIM ABDELKARIM</t>
  </si>
  <si>
    <t>01/01/2008</t>
  </si>
  <si>
    <t>MOHAMED SALAH Mohamed Salah Hamed Mahrous GHALY M. SALAH</t>
  </si>
  <si>
    <t>15/06/1992</t>
  </si>
  <si>
    <t>MOSTAFA ZICO Mostafa Mohamed Zaky ABDELRAOUF ZICO</t>
  </si>
  <si>
    <t>27/04/1997</t>
  </si>
  <si>
    <t>HAISSEM HASSAN Haissem Yousry Fouad A HASSAN H. HASSAN</t>
  </si>
  <si>
    <t>08/02/2002</t>
  </si>
  <si>
    <t>Real Oviedo (ESP)</t>
  </si>
  <si>
    <t>AHMED FATOUH Ahmed Mohamed Aboelfetouh MOHAMED A. FATOUH</t>
  </si>
  <si>
    <t>22/03/1998</t>
  </si>
  <si>
    <t>HAMDY FATHY Hamdy Fathy Abdelhalim ABDELFATTAH H. FATHY</t>
  </si>
  <si>
    <t>Al Wakrah SC (QAT)</t>
  </si>
  <si>
    <t>KARIM HAFEZ Karim Hafez Ramadan SEIFELDIN K. HAFEZ</t>
  </si>
  <si>
    <t>12/03/1996</t>
  </si>
  <si>
    <t>MAHDY SOLIMAN Mahdy Mohamed Soliman IBRAHIM M. SOLIMAN</t>
  </si>
  <si>
    <t>08/06/1987</t>
  </si>
  <si>
    <t>MOHANAD LASHIN Mohanad Mostafa Ahmed A LASHIN M. LASHIN</t>
  </si>
  <si>
    <t>29/05/1996</t>
  </si>
  <si>
    <t>NABIL DONGA Nabil Emad Aly Elmahdy ALY DONGA</t>
  </si>
  <si>
    <t>06/04/1996</t>
  </si>
  <si>
    <t>Al Najmah SC (KSA)</t>
  </si>
  <si>
    <t>MARAWAN ATTIA Marawan Attia Fahim GHALLAB M. ATTIA</t>
  </si>
  <si>
    <t>01/08/1998</t>
  </si>
  <si>
    <t>IBRAHIM ADEL Ibrahim Adel Aly Mohamed HASSAN I. ADEL</t>
  </si>
  <si>
    <t>23/04/2001</t>
  </si>
  <si>
    <t>FC Nordsjælland (DEN)</t>
  </si>
  <si>
    <t>MAHMOUD SABER Mahmoud Saber Abdelmohsen H ABDELMOHSEN M. SABER</t>
  </si>
  <si>
    <t>ZED FC (EGY)</t>
  </si>
  <si>
    <t>OMAR MARMOUSH Omar Khaled Mohamed Abdelsalam MARMOUSH MARMOUSH</t>
  </si>
  <si>
    <t>MOSTAFA SHOUBIR Mostafa Ahmed Abdelaziz Mohame SHOUBIR SHOUBIR</t>
  </si>
  <si>
    <t>TAREK ALAA Tarek Alaa Abdelghaffar Abdel ELGEBALY T. ALAA</t>
  </si>
  <si>
    <t>05/01/2002</t>
  </si>
  <si>
    <t>ZIZO Ahmed Mostafa Mohamed SAYED ZIZO</t>
  </si>
  <si>
    <t>10/01/1996</t>
  </si>
  <si>
    <t>MOHAMED ALAA Mohamed Alaaeldin Soliman M AHMED M. ALAA</t>
  </si>
  <si>
    <t>01/01/1999</t>
  </si>
  <si>
    <t>El Gouna FC (EGY)</t>
  </si>
  <si>
    <t>PICKFORD Jordan Jordan Lee PICKFORD PICKFORD</t>
  </si>
  <si>
    <t>07/03/1994</t>
  </si>
  <si>
    <t>Everton FC (ENG)</t>
  </si>
  <si>
    <t>KONSA Ezri Ezri Ngoyo KONSA KONSA</t>
  </si>
  <si>
    <t>23/10/1997</t>
  </si>
  <si>
    <t>OREILLY Nico Nico O'REILLY O'REILLY</t>
  </si>
  <si>
    <t>21/03/2005</t>
  </si>
  <si>
    <t>RICE Declan Declan RICE RICE</t>
  </si>
  <si>
    <t>14/01/1999</t>
  </si>
  <si>
    <t>STONES John John STONES STONES</t>
  </si>
  <si>
    <t>28/05/1994</t>
  </si>
  <si>
    <t>GUEHI Marc Addji Keaninkin Marc-Isreal GUEHI GUÉHI</t>
  </si>
  <si>
    <t>13/07/2000</t>
  </si>
  <si>
    <t>SAKA Bukayo Bukayo Ayoyinka SAKA SAKA</t>
  </si>
  <si>
    <t>05/09/2001</t>
  </si>
  <si>
    <t>ANDERSON Elliot Elliot Junior ANDERSON ANDERSON</t>
  </si>
  <si>
    <t>06/11/2002</t>
  </si>
  <si>
    <t>KANE Harry Harry Edward KANE KANE</t>
  </si>
  <si>
    <t>28/07/1993</t>
  </si>
  <si>
    <t>BELLINGHAM Jude Jude Victor William BELLINGHAM BELLINGHAM</t>
  </si>
  <si>
    <t>29/06/2003</t>
  </si>
  <si>
    <t>RASHFORD Marcus Marcus RASHFORD RASHFORD</t>
  </si>
  <si>
    <t>31/10/1997</t>
  </si>
  <si>
    <t>CHALOBAH Trevoh Trevoh Tom CHALOBAH CHALOBAH</t>
  </si>
  <si>
    <t>05/07/1999</t>
  </si>
  <si>
    <t>HENDERSON Dean Dean Bradley HENDERSON D. HENDERSON</t>
  </si>
  <si>
    <t>12/03/1997</t>
  </si>
  <si>
    <t>HENDERSON Jordan Jordan Brian HENDERSON HENDERSON</t>
  </si>
  <si>
    <t>17/06/1990</t>
  </si>
  <si>
    <t>BURN Dan Daniel Johnson BURN BURN</t>
  </si>
  <si>
    <t>09/05/1992</t>
  </si>
  <si>
    <t>MAINOO Kobbie Kobbie Boateng MAINOO MAINOO</t>
  </si>
  <si>
    <t>19/04/2005</t>
  </si>
  <si>
    <t>ROGERS Morgan Morgan Elliot ROGERS ROGERS</t>
  </si>
  <si>
    <t>26/07/2002</t>
  </si>
  <si>
    <t>GORDON Anthony Anthony Michael GORDON GORDON</t>
  </si>
  <si>
    <t>24/02/2001</t>
  </si>
  <si>
    <t>WATKINS Ollie Oliver George Arthur WATKINS WATKINS</t>
  </si>
  <si>
    <t>30/12/1995</t>
  </si>
  <si>
    <t>MADUEKE Noni Chukwunonso Azuka Tristan MADUEKE MADUEKE</t>
  </si>
  <si>
    <t>10/03/2002</t>
  </si>
  <si>
    <t>EZE Eberechi Eberechi Oluchi EZE EZE</t>
  </si>
  <si>
    <t>29/06/1998</t>
  </si>
  <si>
    <t>TONEY Ivan Ivan Benjamin Elijah TONEY TONEY</t>
  </si>
  <si>
    <t>16/03/1996</t>
  </si>
  <si>
    <t>TRAFFORD James James Harrington TRAFFORD TRAFFORD</t>
  </si>
  <si>
    <t>10/10/2002</t>
  </si>
  <si>
    <t>JAMES Reece Reece Lewis JAMES JAMES</t>
  </si>
  <si>
    <t>08/12/1999</t>
  </si>
  <si>
    <t>SPENCE Djed Diop Tehuti Djed-Hotep SPENCE SPENCE</t>
  </si>
  <si>
    <t>09/08/2000</t>
  </si>
  <si>
    <t>QUANSAH Jarell Jarell Amorin QUANSAH QUANSAH</t>
  </si>
  <si>
    <t>29/01/2003</t>
  </si>
  <si>
    <t>SAMBA Brice Brice Lauriche SAMBA SAMBA</t>
  </si>
  <si>
    <t>25/04/1994</t>
  </si>
  <si>
    <t>Stade Rennais FC (FRA)</t>
  </si>
  <si>
    <t>GUSTO Malo Malo Arthur GUSTO GUSTO</t>
  </si>
  <si>
    <t>19/05/2003</t>
  </si>
  <si>
    <t>DIGNE Lucas Lucas DIGNE DIGNE</t>
  </si>
  <si>
    <t>20/07/1993</t>
  </si>
  <si>
    <t>UPAMECANO Dayot Dayotchanculle Oswald UPAMECANO UPAMECANO</t>
  </si>
  <si>
    <t>27/10/1998</t>
  </si>
  <si>
    <t>KOUNDE Jules Jules Olivier KOUNDE KOUNDE</t>
  </si>
  <si>
    <t>12/11/1998</t>
  </si>
  <si>
    <t>KONE Manu Kouadio Emmanuel Boris KONE KONE</t>
  </si>
  <si>
    <t>17/05/2001</t>
  </si>
  <si>
    <t>DEMBELE Ousmane Masour Ousmane DEMBELE DEMBELE</t>
  </si>
  <si>
    <t>TCHOUAMENI Aurelien Aurélien Djani TCHOUAMENI TCHOUAMENI</t>
  </si>
  <si>
    <t>THURAM Marcus Marcus Lilian THURAM-ULIEN THURAM</t>
  </si>
  <si>
    <t>MBAPPE Kylian Kylian MBAPPE LOTTIN MBAPPE</t>
  </si>
  <si>
    <t>20/12/1998</t>
  </si>
  <si>
    <t>OLISE Michael Michael Akpovie OLISE OLISE</t>
  </si>
  <si>
    <t>12/12/2001</t>
  </si>
  <si>
    <t>BARCOLA Bradley Bradley Jean-Manuel Essolisa A BARCOLA BARCOLA</t>
  </si>
  <si>
    <t>02/09/2002</t>
  </si>
  <si>
    <t>KANTE Ngolo N'golo KANTE KANTE</t>
  </si>
  <si>
    <t>29/03/1991</t>
  </si>
  <si>
    <t>RABIOT Adrien Adrien Thibault Marie RABIOT RABIOT</t>
  </si>
  <si>
    <t>03/04/1995</t>
  </si>
  <si>
    <t>KONATE Ibrahima Ibrahima KONATÉ KONATE</t>
  </si>
  <si>
    <t>25/05/1999</t>
  </si>
  <si>
    <t>MAIGNAN Mike Mike Peterson MAIGNAN MAIGNAN</t>
  </si>
  <si>
    <t>03/07/1995</t>
  </si>
  <si>
    <t>SALIBA William William Alain André Gabriel SALIBA SALIBA</t>
  </si>
  <si>
    <t>24/03/2001</t>
  </si>
  <si>
    <t>ZAIRE-EMERY Warren Warren Marie Jean-Pierre ZAÏRE-EMERY ZAIRE-EMERY</t>
  </si>
  <si>
    <t>08/03/2006</t>
  </si>
  <si>
    <t>HERNANDEZ Theo Théo Bernard François HERNANDEZ T. HERNANDEZ</t>
  </si>
  <si>
    <t>06/10/1997</t>
  </si>
  <si>
    <t>Al Hilal SC (KSA)</t>
  </si>
  <si>
    <t>DOUE Desire Désiré Nonka-Maho DOUE DOUE</t>
  </si>
  <si>
    <t>03/06/2005</t>
  </si>
  <si>
    <t>HERNANDEZ Lucas Lucas Francois Bernard HERNANDEZ L. HERNANDEZ</t>
  </si>
  <si>
    <t>14/02/1996</t>
  </si>
  <si>
    <t>MATETA Jean-Philippe Jean-Philippe MATETA MATETA</t>
  </si>
  <si>
    <t>28/06/1997</t>
  </si>
  <si>
    <t>RISSER Robin Robin François Philippe RISSER RISSER</t>
  </si>
  <si>
    <t>02/12/2004</t>
  </si>
  <si>
    <t>CHERKI Rayan Mathis Rayan CHERKI CHERKI</t>
  </si>
  <si>
    <t>17/08/2003</t>
  </si>
  <si>
    <t>AKLIOUCHE Maghnes Maghnes AKLIOUCHE AKLIOUCHE</t>
  </si>
  <si>
    <t>25/02/2002</t>
  </si>
  <si>
    <t>LACROIX Maxence Maxence Guy LACROIX LACROIX</t>
  </si>
  <si>
    <t>06/04/2000</t>
  </si>
  <si>
    <t>NEUER Manuel Manuel Peter NEUER NEUER</t>
  </si>
  <si>
    <t>27/03/1986</t>
  </si>
  <si>
    <t>RUEDIGER Antonio Antonio RÜDIGER RÜDIGER</t>
  </si>
  <si>
    <t>03/03/1993</t>
  </si>
  <si>
    <t>ANTON Waldemar Waldemar ANTON ANTON</t>
  </si>
  <si>
    <t>20/07/1996</t>
  </si>
  <si>
    <t>TAH Jonathan Jonathan Glao TAH TAH</t>
  </si>
  <si>
    <t>11/02/1996</t>
  </si>
  <si>
    <t>PAVLOVIC Aleksandar Aleksandar PAVLOVIĆ PAVLOVIĆ</t>
  </si>
  <si>
    <t>03/05/2004</t>
  </si>
  <si>
    <t>KIMMICH Joshua Joshua Walter KIMMICH KIMMICH</t>
  </si>
  <si>
    <t>08/02/1995</t>
  </si>
  <si>
    <t>HAVERTZ Kai Kai Lukas HAVERTZ HAVERTZ</t>
  </si>
  <si>
    <t>11/06/1999</t>
  </si>
  <si>
    <t>GORETZKA Leon Leon Christoph GORETZKA GORETZKA</t>
  </si>
  <si>
    <t>06/02/1995</t>
  </si>
  <si>
    <t>LEWELING Jamie Jamie Jaleel Jeremy LEWELING LEWELING</t>
  </si>
  <si>
    <t>26/02/2001</t>
  </si>
  <si>
    <t>MUSIALA Jamal Jamal MUSIALA MUSIALA</t>
  </si>
  <si>
    <t>26/02/2003</t>
  </si>
  <si>
    <t>WOLTEMADE Nick Nick WOLTEMADE WOLTEMADE</t>
  </si>
  <si>
    <t>14/02/2002</t>
  </si>
  <si>
    <t>BAUMANN Oliver Oliver BAUMANN BAUMANN</t>
  </si>
  <si>
    <t>02/06/1990</t>
  </si>
  <si>
    <t>GROSS Pascal Pascal Alexander GROß GROß</t>
  </si>
  <si>
    <t>15/06/1991</t>
  </si>
  <si>
    <t>BEIER Maximilian Maximilian BEIER BEIER</t>
  </si>
  <si>
    <t>SCHLOTTERBECK Nico Nico Cédric SCHLOTTERBECK SCHLOTTERBECK</t>
  </si>
  <si>
    <t>01/12/1999</t>
  </si>
  <si>
    <t>STILLER Angelo Angelo Nicolas STILLER STILLER</t>
  </si>
  <si>
    <t>04/04/2001</t>
  </si>
  <si>
    <t>WIRTZ Florian Florian Richard WIRTZ WIRTZ</t>
  </si>
  <si>
    <t>03/05/2003</t>
  </si>
  <si>
    <t>BROWN Nathaniel Nathaniel Christopher BROWN BROWN</t>
  </si>
  <si>
    <t>16/06/2003</t>
  </si>
  <si>
    <t>SANE Leroy Leroy Aziz SANÉ SANÉ</t>
  </si>
  <si>
    <t>11/01/1996</t>
  </si>
  <si>
    <t>AMIRI Nadiem Nadiem AMIRI AMIRI</t>
  </si>
  <si>
    <t>27/10/1996</t>
  </si>
  <si>
    <t>NUEBEL Alexander Alexander NÜBEL NÜBEL</t>
  </si>
  <si>
    <t>30/09/1996</t>
  </si>
  <si>
    <t>RAUM David David RAUM RAUM</t>
  </si>
  <si>
    <t>22/04/1998</t>
  </si>
  <si>
    <t>NMECHA Felix Felix Kalu NMECHA NMECHA</t>
  </si>
  <si>
    <t>THIAW Malick Malick THIAW THIAW</t>
  </si>
  <si>
    <t>08/08/2001</t>
  </si>
  <si>
    <t>OUEDRAOGO Assan Forzan Assan OUÉDRAOGO OUÉDRAOGO</t>
  </si>
  <si>
    <t>09/05/2006</t>
  </si>
  <si>
    <t>UNDAV Deniz Deniz UNDAV UNDAV</t>
  </si>
  <si>
    <t>19/07/1996</t>
  </si>
  <si>
    <t>GHA</t>
  </si>
  <si>
    <t>ZIGI Lawrence Ati Lawrence Ati ZIGI ZIGI</t>
  </si>
  <si>
    <t>29/11/1996</t>
  </si>
  <si>
    <t>FC St. Gallen (SUI)</t>
  </si>
  <si>
    <t>SEIDU Alidu Alidu SEIDU ALIDU SEIDU</t>
  </si>
  <si>
    <t>04/06/2000</t>
  </si>
  <si>
    <t>YIRENKYI Caleb Caleb Marfo YIRENKYI YIRENKYI</t>
  </si>
  <si>
    <t>15/01/2006</t>
  </si>
  <si>
    <t>ADJETEY Jonas Jonas Adjei ADJETEY ADJETEY</t>
  </si>
  <si>
    <t>13/12/2003</t>
  </si>
  <si>
    <t>PARTEY Thomas Thomas Teye PARTEY PARTEY</t>
  </si>
  <si>
    <t>13/06/1993</t>
  </si>
  <si>
    <t>MUMIN Abdul Abdul Mumin SULEMAN A. MUMIN</t>
  </si>
  <si>
    <t>06/06/1998</t>
  </si>
  <si>
    <t>Rayo Vallecano (ESP)</t>
  </si>
  <si>
    <t>FATAWU Abdul Abdul Fatawu ISSAHAKU A. FATAWU</t>
  </si>
  <si>
    <t>08/03/2004</t>
  </si>
  <si>
    <t>SIBO Kwasi Kwasi SIBO SIBO</t>
  </si>
  <si>
    <t>24/06/1998</t>
  </si>
  <si>
    <t>AYEW Jordan Jordan Pierre AYEW J. AYEW</t>
  </si>
  <si>
    <t>11/09/1991</t>
  </si>
  <si>
    <t>THOMAS-ASANTE Brandon Solomon Brandon Michael Clarke THOMAS-ASANTE ASANTE</t>
  </si>
  <si>
    <t>29/12/1998</t>
  </si>
  <si>
    <t>Coventry City FC (ENG)</t>
  </si>
  <si>
    <t>SEMENYO Antoine Antoine Serlom SEMENYO SEMENYO</t>
  </si>
  <si>
    <t>07/01/2000</t>
  </si>
  <si>
    <t>ANANG Joseph Joseph Tetteh ANANG ANANG</t>
  </si>
  <si>
    <t>08/06/2000</t>
  </si>
  <si>
    <t>St Patrick's Athletic FC (IRL)</t>
  </si>
  <si>
    <t>BONSU BAAH Christopher Christopher Bonsu BAAH BONSU BAAH</t>
  </si>
  <si>
    <t>14/12/2004</t>
  </si>
  <si>
    <t>Al Qadsiah FC (KSA)</t>
  </si>
  <si>
    <t>MENSAH Gideon Gideon MENSAH MENSAH</t>
  </si>
  <si>
    <t>18/07/1998</t>
  </si>
  <si>
    <t>AJ Auxerre (FRA)</t>
  </si>
  <si>
    <t>OWUSU Elisha Elisha OWUSU OWUSU</t>
  </si>
  <si>
    <t>07/11/1997</t>
  </si>
  <si>
    <t>ASARE Benjamin Benjamin ASARE B. ASARE</t>
  </si>
  <si>
    <t>13/07/1992</t>
  </si>
  <si>
    <t>Hearts Of Oak SC (GHA)</t>
  </si>
  <si>
    <t>RAHMAN Baba Abdul Rahman BABA BABA</t>
  </si>
  <si>
    <t>02/07/1994</t>
  </si>
  <si>
    <t>PAOK Saloniki (GRE)</t>
  </si>
  <si>
    <t>OPOKU Jerome Jerome OPOKU OPOKU</t>
  </si>
  <si>
    <t>14/10/1998</t>
  </si>
  <si>
    <t>WILLIAMS Inaki Inaki WILLIAMS ARTHUER WILLIAMS</t>
  </si>
  <si>
    <t>15/06/1994</t>
  </si>
  <si>
    <t>Athletic Club (ESP)</t>
  </si>
  <si>
    <t>BOAKYE Augustine Augustine BOAKYE BOAKYE</t>
  </si>
  <si>
    <t>03/11/2000</t>
  </si>
  <si>
    <t>AS Saint-Etienne (FRA)</t>
  </si>
  <si>
    <t>OPPONG Kojo Peprah Kojo Peprah OPPONG OPPONG</t>
  </si>
  <si>
    <t>04/06/2004</t>
  </si>
  <si>
    <t>SULEMANA Kamaldeen Kamal Deen SULEMANA KAMALDEEN</t>
  </si>
  <si>
    <t>15/02/2002</t>
  </si>
  <si>
    <t>LUCKASSEN Derrick Derrick LUCKASSEN LUCKASSEN</t>
  </si>
  <si>
    <t>NUAMAH Ernest Ernest Nuamah APPIAH NUAMAH</t>
  </si>
  <si>
    <t>01/11/2003</t>
  </si>
  <si>
    <t>ADU Prince Prince Kwabena ADU PRINCE</t>
  </si>
  <si>
    <t>23/09/2003</t>
  </si>
  <si>
    <t>SENAYA Marvin Marvin Elom SENAYA SENEYA</t>
  </si>
  <si>
    <t>28/01/2001</t>
  </si>
  <si>
    <t>HAI</t>
  </si>
  <si>
    <t>PLACIDE Johny Johny PLACIDE PLACIDE</t>
  </si>
  <si>
    <t>29/01/1988</t>
  </si>
  <si>
    <t>SC Bastia (FRA)</t>
  </si>
  <si>
    <t>ARCUS Carlens Carlens Jean Fedlaire Ruby ARCUS ARCUS</t>
  </si>
  <si>
    <t>28/06/1996</t>
  </si>
  <si>
    <t>Angers SCO (FRA)</t>
  </si>
  <si>
    <t>THERMONCY Keeto Keeto THERMONCY THERMONCY</t>
  </si>
  <si>
    <t>29/03/2006</t>
  </si>
  <si>
    <t>ADE Ricardo Ricardo ADE ADE</t>
  </si>
  <si>
    <t>21/05/1990</t>
  </si>
  <si>
    <t>DELCROIX Hannes Hannes Piterson D DELCROIX DELCROIX</t>
  </si>
  <si>
    <t>28/02/1999</t>
  </si>
  <si>
    <t>FC Lugano (SUI)</t>
  </si>
  <si>
    <t>SAINTE Carl Carl Fred SAINTE SAINTE</t>
  </si>
  <si>
    <t>09/08/2002</t>
  </si>
  <si>
    <t>El Paso Locomotive FC (USA)</t>
  </si>
  <si>
    <t>ETIENNE Derrick Derrick Burckley ETIENNE JR ETIENNE JR</t>
  </si>
  <si>
    <t>25/11/1996</t>
  </si>
  <si>
    <t>EXPERIENCE Martin Martin Yves Roberns Didier EXPERIENCE EXPERIENCE</t>
  </si>
  <si>
    <t>09/03/1999</t>
  </si>
  <si>
    <t>AS Nancy (FRA)</t>
  </si>
  <si>
    <t>NAZON Duckens Duckens NAZON NAZON</t>
  </si>
  <si>
    <t>07/04/1994</t>
  </si>
  <si>
    <t>Esteghlal Tehran FC (IRN)</t>
  </si>
  <si>
    <t>IRN</t>
  </si>
  <si>
    <t>BELLEGARDE Jean-Ricner Jean Ricner BELLEGARDE BELLEGARDE</t>
  </si>
  <si>
    <t>27/06/1998</t>
  </si>
  <si>
    <t>DEEDSON Louicius Don Deedson LOUICIUS LOUICIUS</t>
  </si>
  <si>
    <t>11/02/2001</t>
  </si>
  <si>
    <t>PIERRE Alexandre Alexandre Jr PIERRE A. PIERRE</t>
  </si>
  <si>
    <t>25/02/2001</t>
  </si>
  <si>
    <t>FC Sochaux-Montbéliard (FRA)</t>
  </si>
  <si>
    <t>LACROIX Markhus Markhus LACROIX LACROIX</t>
  </si>
  <si>
    <t>14/10/1993</t>
  </si>
  <si>
    <t>Colorado Springs Switchbacks FC (USA)</t>
  </si>
  <si>
    <t>METUSALA Garven Garven-Michee METUSALA METUSALA</t>
  </si>
  <si>
    <t>31/12/1999</t>
  </si>
  <si>
    <t>PROVIDENCE Ruben Ruben Fritzner PROVIDENCE PROVIDENCE</t>
  </si>
  <si>
    <t>07/07/2001</t>
  </si>
  <si>
    <t>Almere City FC (NED)</t>
  </si>
  <si>
    <t>JOSEPH Lenny Lenny Alvin Pico JOSEPH JOSEPH</t>
  </si>
  <si>
    <t>12/10/2000</t>
  </si>
  <si>
    <t>Ferencvárosi TC (HUN)</t>
  </si>
  <si>
    <t>JEAN JACQUES Danley Danley JEAN JACQUES JEAN-JACQUES</t>
  </si>
  <si>
    <t>20/05/2000</t>
  </si>
  <si>
    <t>Philadelphia Union (USA)</t>
  </si>
  <si>
    <t>ISIDOR Wilson Wilson ISIDOR ISIDOR</t>
  </si>
  <si>
    <t>27/08/2000</t>
  </si>
  <si>
    <t>FORTUNE Yassin Yassin Enzo FORTUNE FORTUNE</t>
  </si>
  <si>
    <t>30/01/1999</t>
  </si>
  <si>
    <t>FC Vizela (POR)</t>
  </si>
  <si>
    <t>PIERROT Frantzdy Frantzdy PIERROT PIERROT</t>
  </si>
  <si>
    <t>CASIMIR Josue Josue Jeremie CASIMIR CASIMIR</t>
  </si>
  <si>
    <t>24/09/2001</t>
  </si>
  <si>
    <t>DUVERNE Jean-Kevin Jean-Kévin DUVERNE DUVERNE</t>
  </si>
  <si>
    <t>12/07/1997</t>
  </si>
  <si>
    <t>KAA Gent (BEL)</t>
  </si>
  <si>
    <t>DUVERGER Josue Josue DUVERGER DUVERGER</t>
  </si>
  <si>
    <t>27/04/2000</t>
  </si>
  <si>
    <t>FC Cosmos Koblenz (GER)</t>
  </si>
  <si>
    <t>PAUGAIN Wilguens Wilguens Raphael Polynice PAUGAIN PAUGAIN</t>
  </si>
  <si>
    <t>24/08/2001</t>
  </si>
  <si>
    <t>SV Zulte Waregem (BEL)</t>
  </si>
  <si>
    <t>SIMON Dominique Dominique Celidor SIMON SIMON</t>
  </si>
  <si>
    <t>29/07/2000</t>
  </si>
  <si>
    <t>FC Tatran Prešov (SVK)</t>
  </si>
  <si>
    <t>SVK</t>
  </si>
  <si>
    <t>PIERRE Woodensky Olivier Woodensky PIERRE W. PIERRE</t>
  </si>
  <si>
    <t>30/12/2004</t>
  </si>
  <si>
    <t>Violette AC (HAI)</t>
  </si>
  <si>
    <t>BEIRANVAND Alireza Ali Reza SAFARBEIRANVAND BEIRANVAND</t>
  </si>
  <si>
    <t>21/09/1992</t>
  </si>
  <si>
    <t>Tractor Sazi Tabriz FC (IRN)</t>
  </si>
  <si>
    <t>HARDANI Saleh Saleh HARDANI KHERAD SALEH</t>
  </si>
  <si>
    <t>26/12/1998</t>
  </si>
  <si>
    <t>HAJISAFI Ehsan Ehsan HAJI SAFI E. HAJISAFI</t>
  </si>
  <si>
    <t>25/02/1990</t>
  </si>
  <si>
    <t>Sepahan SC (IRN)</t>
  </si>
  <si>
    <t>KHALILZADEH Shoja Shojae KHALILZADEH SHOJA</t>
  </si>
  <si>
    <t>14/05/1989</t>
  </si>
  <si>
    <t>MOHAMMADI Milad Milad MOHAMMADIKESHMARZI M. MOHAMMADI</t>
  </si>
  <si>
    <t>29/09/1993</t>
  </si>
  <si>
    <t>Persepolis FC (IRN)</t>
  </si>
  <si>
    <t>EZATOLAHI Saeid Saeid EZATOLAHI AFAGH S. EZATOLAHI</t>
  </si>
  <si>
    <t>01/10/1996</t>
  </si>
  <si>
    <t>Shabab Al Ahli Club (UAE)</t>
  </si>
  <si>
    <t>JAHANBAKHSH Alireza Alireza JAHANBAKHSH JIRANDEH A. JAHANBAKHSH</t>
  </si>
  <si>
    <t>11/08/1993</t>
  </si>
  <si>
    <t>MOHEBBI Mohammad Mohammad MOHEBBI M. MOHEBBI</t>
  </si>
  <si>
    <t>FC Rostov (RUS)</t>
  </si>
  <si>
    <t>TAREMI Mehdi Mehdi TAREMI TAREMI</t>
  </si>
  <si>
    <t>18/07/1992</t>
  </si>
  <si>
    <t>Olympiacos FC (GRE)</t>
  </si>
  <si>
    <t>GHAYEDI Mehdi Mehdi GHAYEDI MEHDI GHAYEDI</t>
  </si>
  <si>
    <t>05/12/1998</t>
  </si>
  <si>
    <t>Al Nasr SC (UAE)</t>
  </si>
  <si>
    <t>ALIPOUR Ali Ali ALIPOURGHARA A. ALIPOUR</t>
  </si>
  <si>
    <t>11/11/1995</t>
  </si>
  <si>
    <t>NIAZMAND Payam Seyedpayam NIAZMAND PAYAM</t>
  </si>
  <si>
    <t>06/04/1995</t>
  </si>
  <si>
    <t>KANANI Hossein Mohammadhossein KANANI ZADEGAN KANANI</t>
  </si>
  <si>
    <t>23/03/1994</t>
  </si>
  <si>
    <t>GHODDOS Saman Seyed Saman GHODDOOS GHODDOS</t>
  </si>
  <si>
    <t>06/09/1993</t>
  </si>
  <si>
    <t>Al Ittihad Kalba SCC (UAE)</t>
  </si>
  <si>
    <t>CHESHMI Roozbeh Roozbeh CHESHMI ROOZBEH</t>
  </si>
  <si>
    <t>24/07/1993</t>
  </si>
  <si>
    <t>TORABI Mehdi Mahdi TORABI M. TORABI</t>
  </si>
  <si>
    <t>10/09/1994</t>
  </si>
  <si>
    <t>YOUSEFI Arya Arya YOUSEFI ARYA</t>
  </si>
  <si>
    <t>22/04/2002</t>
  </si>
  <si>
    <t>HOSSEINZADEH Amirhossein Amirhossein HOSSEINZADEHTAZEHGHESHLAGH AMIRHOSSEIN</t>
  </si>
  <si>
    <t>30/10/2000</t>
  </si>
  <si>
    <t>NEMATI Ali Ali NEMATI ALI</t>
  </si>
  <si>
    <t>08/02/1996</t>
  </si>
  <si>
    <t>Foolad Khuzestan FC (IRN)</t>
  </si>
  <si>
    <t>MOGHANLOO Shahriyar Shahriyar MOGHANLOO SHAHRIYAR</t>
  </si>
  <si>
    <t>21/12/1994</t>
  </si>
  <si>
    <t>GHORBANI Mohammad Mohammad GHORBANI MOHAMMAD</t>
  </si>
  <si>
    <t>07/10/2001</t>
  </si>
  <si>
    <t>Al Wahda SC (UAE)</t>
  </si>
  <si>
    <t>HOSSEINI Hossein Seyedhossein HOSSEINI HOSSEINI</t>
  </si>
  <si>
    <t>30/06/1992</t>
  </si>
  <si>
    <t>REZAEIAN Ramin Ramin REZAEIANSEMESKANDI RAMIN</t>
  </si>
  <si>
    <t>21/03/1990</t>
  </si>
  <si>
    <t>DARGAHI Dennis Dennis DARGAHI DARGAHI</t>
  </si>
  <si>
    <t>09/01/1997</t>
  </si>
  <si>
    <t>IRI Danial Danial IRI DANIAL</t>
  </si>
  <si>
    <t>26/10/2003</t>
  </si>
  <si>
    <t>Malavan Anzali FC (IRN)</t>
  </si>
  <si>
    <t>RAZAGHINIA Amirmohammad Amirmohammad RAZAGHINIA RAZAGH</t>
  </si>
  <si>
    <t>11/04/2006</t>
  </si>
  <si>
    <t>IRQ</t>
  </si>
  <si>
    <t>FAHAD TALIB Fahad Talib Raheem RAHEEM FAHAD</t>
  </si>
  <si>
    <t>21/10/1994</t>
  </si>
  <si>
    <t>Al Talaba SC (IRQ)</t>
  </si>
  <si>
    <t>REBIN SULAKA Rebin Ghareeb Solaka ADHAMAT REBIN</t>
  </si>
  <si>
    <t>12/04/1992</t>
  </si>
  <si>
    <t>Port FC (THA)</t>
  </si>
  <si>
    <t>THA</t>
  </si>
  <si>
    <t>HUSSEIN ALI Hussein Haydar Hussein ALI HUSSEIN</t>
  </si>
  <si>
    <t>01/03/2002</t>
  </si>
  <si>
    <t>Pogoń Szczecin (POL)</t>
  </si>
  <si>
    <t>ZAID TAHSEEN Zaid Tahseen Abd Zaid HANTOOSH ZAID T.</t>
  </si>
  <si>
    <t>29/01/2001</t>
  </si>
  <si>
    <t>Pakhtakor Tashkent FK (UZB)</t>
  </si>
  <si>
    <t>UZB</t>
  </si>
  <si>
    <t>AKAM HASHIM Akam Hashim Rahman RAHMAN AKAM</t>
  </si>
  <si>
    <t>Al Zawra'a SC (IRQ)</t>
  </si>
  <si>
    <t>MUNAF YOUNUS Munaf Younus Hashim AL-TEKREETI MUNAF</t>
  </si>
  <si>
    <t>16/11/1996</t>
  </si>
  <si>
    <t>Al Shorta SC (IRQ)</t>
  </si>
  <si>
    <t>YOUSSEF AMYN Youssef Wali Faeq AMYN YOUSSEF</t>
  </si>
  <si>
    <t>21/08/2003</t>
  </si>
  <si>
    <t>AEK Larnaca FC (CYP)</t>
  </si>
  <si>
    <t>IBRAHIM BAYESH Ibrahim Bayesh Kamil AL-KAABAWI IBRAHIM</t>
  </si>
  <si>
    <t>01/05/2000</t>
  </si>
  <si>
    <t>Al Dhafra SCC (UAE)</t>
  </si>
  <si>
    <t>ALI ALHAMADI Ali Ibrahim Karim ALZUBAIDI AL-HAMADI</t>
  </si>
  <si>
    <t>Luton Town FC (ENG)</t>
  </si>
  <si>
    <t>MOHANAD ALI Mohanad Ali Kadhim AL-SHAMMARI MOHANAD</t>
  </si>
  <si>
    <t>20/06/2000</t>
  </si>
  <si>
    <t>Dibba FC (UAE)</t>
  </si>
  <si>
    <t>AHMED QASEM Ahmed Ihab Ahmed AHMED AHMED Q.</t>
  </si>
  <si>
    <t>12/07/2003</t>
  </si>
  <si>
    <t>Nashville SC (USA)</t>
  </si>
  <si>
    <t>JALAL HASSAN Jalal Hasan Hachim HACHIM JALAL</t>
  </si>
  <si>
    <t>18/05/1991</t>
  </si>
  <si>
    <t>ALI YOUSIF Ali Yousif Hashim NAJATEE ALI Y.</t>
  </si>
  <si>
    <t>19/01/1996</t>
  </si>
  <si>
    <t>ZIDANE IQBAL Zidane Aamar Iqbal IQBAL Z. IQBAL</t>
  </si>
  <si>
    <t>27/04/2003</t>
  </si>
  <si>
    <t>FC Utrecht (NED)</t>
  </si>
  <si>
    <t>AHMED MAKNAZI Ahmed Hasan Maknazi AL-DEESHAWEE AHMED H.</t>
  </si>
  <si>
    <t>Al Karma SC (IRQ)</t>
  </si>
  <si>
    <t>AMIR ALAMMARI Amir Fouad Aboud AL-AMMARI AL-AMMARI</t>
  </si>
  <si>
    <t>27/07/1997</t>
  </si>
  <si>
    <t>KS Cracovia (POL)</t>
  </si>
  <si>
    <t>ALI JASIM Ali Jasim Elaibi AL-TAMEEMI ALI J.</t>
  </si>
  <si>
    <t>20/01/2004</t>
  </si>
  <si>
    <t>AYMEN HUSSEIN Aymen Hussein Ghadhban GHADHBAN AYMEN</t>
  </si>
  <si>
    <t>22/03/1996</t>
  </si>
  <si>
    <t>KEVIN YAKOB Kevin Enkido Yakob William WILLIAM K. YAKOB</t>
  </si>
  <si>
    <t>Aarhus GF (DEN)</t>
  </si>
  <si>
    <t>AIMAR SHER Aimar Hazar Anwar SHER AIMAR</t>
  </si>
  <si>
    <t>20/12/2002</t>
  </si>
  <si>
    <t>Sarpsborg 08 FF (NOR)</t>
  </si>
  <si>
    <t>NOR</t>
  </si>
  <si>
    <t>MARKO FARJI Marko Jabbar Hussein HUSSEIN MARKO</t>
  </si>
  <si>
    <t>16/03/2004</t>
  </si>
  <si>
    <t>AHMED BASIL Ahmed Basil Fadhil AL-FADHLI AHMED B.</t>
  </si>
  <si>
    <t>19/08/1996</t>
  </si>
  <si>
    <t>MERCHAS DOSKI Merchas Ghazi Salih SALIH DOSKI</t>
  </si>
  <si>
    <t>07/12/1999</t>
  </si>
  <si>
    <t>ZAID ISMAEL Zaid Ismael Khaleel AL-DULAIMI ZAID I.</t>
  </si>
  <si>
    <t>03/01/2002</t>
  </si>
  <si>
    <t>MUSTAFA SAADOON Mustafa Saadoon Abbood AL-KORJI MUSTAFA</t>
  </si>
  <si>
    <t>25/05/2001</t>
  </si>
  <si>
    <t>FRANS PUTROS Frans Dhia Jirjis HADDAD FRANS</t>
  </si>
  <si>
    <t>14/07/1993</t>
  </si>
  <si>
    <t>Persib Bandung (IDN)</t>
  </si>
  <si>
    <t>IDN</t>
  </si>
  <si>
    <t>SUZUKI Zion Zion SUZUKI SUZUKI</t>
  </si>
  <si>
    <t>21/08/2002</t>
  </si>
  <si>
    <t>SUGAWARA Yukinari Yukinari SUGAWARA SUGAWARA</t>
  </si>
  <si>
    <t>28/06/2000</t>
  </si>
  <si>
    <t>TANIGUCHI Shogo Shogo TANIGUCHI TANIGUCHI</t>
  </si>
  <si>
    <t>Sint-Truiden VV (BEL)</t>
  </si>
  <si>
    <t>ITAKURA Kou Kou ITAKURA ITAKURA</t>
  </si>
  <si>
    <t>NAGATOMO Yuto Yuto NAGATOMO NAGATOMO</t>
  </si>
  <si>
    <t>12/09/1986</t>
  </si>
  <si>
    <t>FC Tokyo (JPN)</t>
  </si>
  <si>
    <t>MACHINO Shuto Shuto MACHINO MACHINO</t>
  </si>
  <si>
    <t>30/09/1999</t>
  </si>
  <si>
    <t>TANAKA Ao Ao TANAKA TANAKA</t>
  </si>
  <si>
    <t>10/09/1998</t>
  </si>
  <si>
    <t>Leeds United FC (ENG)</t>
  </si>
  <si>
    <t>KUBO Takefusa Takefusa KUBO KUBO</t>
  </si>
  <si>
    <t>04/06/2001</t>
  </si>
  <si>
    <t>GOTO Keisuke Keisuke GOTO GOTO</t>
  </si>
  <si>
    <t>DOAN Ritsu Ritsu DOAN DOAN</t>
  </si>
  <si>
    <t>16/06/1998</t>
  </si>
  <si>
    <t>MAEDA Daizen Daizen MAEDA DAIZEN</t>
  </si>
  <si>
    <t>20/10/1997</t>
  </si>
  <si>
    <t>OSAKO Keisuke Keisuke OSAKO OSAKO</t>
  </si>
  <si>
    <t>28/07/1999</t>
  </si>
  <si>
    <t>Sanfrecce Hiroshima (JPN)</t>
  </si>
  <si>
    <t>NAKAMURA Keito Keito NAKAMURA NAKAMURA</t>
  </si>
  <si>
    <t>28/07/2000</t>
  </si>
  <si>
    <t>Stade Reims (FRA)</t>
  </si>
  <si>
    <t>ITO Junya Junya ITO ITO</t>
  </si>
  <si>
    <t>09/03/1993</t>
  </si>
  <si>
    <t>KAMADA Daichi Daichi KAMADA KAMADA</t>
  </si>
  <si>
    <t>05/08/1996</t>
  </si>
  <si>
    <t>WATANABE Tsuyoshi Tsuyoshi WATANABE WATANABE</t>
  </si>
  <si>
    <t>05/02/1997</t>
  </si>
  <si>
    <t>SUZUKI Yuito Yuito SUZUKI Y. SUZUKI</t>
  </si>
  <si>
    <t>25/10/2001</t>
  </si>
  <si>
    <t>UEDA Ayase Ayase UEDA AYASE</t>
  </si>
  <si>
    <t>28/08/1998</t>
  </si>
  <si>
    <t>OGAWA Koki Koki OGAWA OGAWA</t>
  </si>
  <si>
    <t>08/08/1997</t>
  </si>
  <si>
    <t>SEKO Ayumu Ayumu SEKO SEKO</t>
  </si>
  <si>
    <t>07/06/2000</t>
  </si>
  <si>
    <t>ITO Hiroki Hiroki ITO H. ITO</t>
  </si>
  <si>
    <t>12/05/1999</t>
  </si>
  <si>
    <t>TOMIYASU Takehiro Takehiro TOMIYASU TOMIYASU</t>
  </si>
  <si>
    <t>05/11/1998</t>
  </si>
  <si>
    <t>HAYAKAWA Tomoki Tomoki HAYAKAWA HAYAKAWA</t>
  </si>
  <si>
    <t>03/03/1999</t>
  </si>
  <si>
    <t>Kashima Antlers (JPN)</t>
  </si>
  <si>
    <t>SANO Kaishu Kaishu SANO SANO</t>
  </si>
  <si>
    <t>30/12/2000</t>
  </si>
  <si>
    <t>SUZUKI Junnosuke Junnosuke SUZUKI J. SUZUKI</t>
  </si>
  <si>
    <t>SHIOGAI Kento Kento SHIOGAI SHIOGAI</t>
  </si>
  <si>
    <t>26/03/2005</t>
  </si>
  <si>
    <t>JOR</t>
  </si>
  <si>
    <t>YAZEED ABULAILA Yazeed Mo'ien Hasan ABULAILA YAZEED</t>
  </si>
  <si>
    <t>08/01/1993</t>
  </si>
  <si>
    <t>Al Hussein SC (JOR)</t>
  </si>
  <si>
    <t>MOHAMMAD ABUHASHEESH Mohammad Ali Hasan ABUHASHEESH ABU HASHEESH</t>
  </si>
  <si>
    <t>09/05/1995</t>
  </si>
  <si>
    <t>ABDALLAH NASIB Abdallah Mousa Musallam NASIB NASIB</t>
  </si>
  <si>
    <t>25/02/1994</t>
  </si>
  <si>
    <t>HUSAM ABUDAHAB Husam Ali Mohammad ABUDAHAB ABU DAHAB</t>
  </si>
  <si>
    <t>13/05/2000</t>
  </si>
  <si>
    <t>Al Faisaly SC (JOR)</t>
  </si>
  <si>
    <t>YAZAN ALARAB Yazan Mousa Mahmoud ALARAB ALARAB</t>
  </si>
  <si>
    <t>FC Seoul (KOR)</t>
  </si>
  <si>
    <t>KOR</t>
  </si>
  <si>
    <t>AMER JAMOUS Amer Rasem Adel JAMOUS JAMOUS</t>
  </si>
  <si>
    <t>03/07/2002</t>
  </si>
  <si>
    <t>MOHAMMAD ABUZRAIQ Mohammad Faisal Yousef ABU ZRAIQ ABU ZRAIQ</t>
  </si>
  <si>
    <t>30/12/1997</t>
  </si>
  <si>
    <t>Raja Casablanca (MAR)</t>
  </si>
  <si>
    <t>MAR</t>
  </si>
  <si>
    <t>NOOR ALRAWABDEH Noor Al-Deen Mahmoud Ali AL RAWABDEH ALRAWABDEH</t>
  </si>
  <si>
    <t>24/02/1997</t>
  </si>
  <si>
    <t>Selangor FC (MAS)</t>
  </si>
  <si>
    <t>ALI OLWAN Ali Iyad Ali OLWAN OLWAN</t>
  </si>
  <si>
    <t>26/03/2000</t>
  </si>
  <si>
    <t>Al Sailiya SC (QAT)</t>
  </si>
  <si>
    <t>MOUSA ALTAMARI Mousa Mohammad Mousa SULEIMAN ALTAMARI</t>
  </si>
  <si>
    <t>10/06/1997</t>
  </si>
  <si>
    <t>ODEH FAKHOURY Odeh Burhan Shehadeh FAKHOURY ODEH</t>
  </si>
  <si>
    <t>22/11/2005</t>
  </si>
  <si>
    <t>NOUR BANIATEYAH Noureddin Zaid Khaleel BANI ATEYAH BANI ATEYAH</t>
  </si>
  <si>
    <t>25/01/1993</t>
  </si>
  <si>
    <t>MAHMOUD ALMARDI Mahmoud Nayef Ahmad ALMARDI ALMARDI</t>
  </si>
  <si>
    <t>06/10/1993</t>
  </si>
  <si>
    <t>RAJAEI AYED Raja'ei Ayed Fadel HASAN RAJA'EI</t>
  </si>
  <si>
    <t>25/07/1993</t>
  </si>
  <si>
    <t>IBRAHIM SADEH Ibrahim Mohammad Sami SA'DEH SA'DEH</t>
  </si>
  <si>
    <t>MOHAMMAD ABUALNADI Mohammad Majed Jamil ABUALNADI ABU ALNADI</t>
  </si>
  <si>
    <t>08/02/2001</t>
  </si>
  <si>
    <t>SALEEM OBAID Saleem Amer Saleem OBAID SALEEM</t>
  </si>
  <si>
    <t>17/01/1992</t>
  </si>
  <si>
    <t>MOHAMMAD ABUGHOUSH Mohammad Ahmed Mohammad TAHA ABU GHOUSH</t>
  </si>
  <si>
    <t>13/07/2005</t>
  </si>
  <si>
    <t>SAED ALROSAN Sa'ed Ahmad Salameh ALROSAN SA'ED</t>
  </si>
  <si>
    <t>01/02/1997</t>
  </si>
  <si>
    <t>MOHANNAD ABUTAHA Mohannad Mahmoud Saleh ABU TAHA ABU TAHA</t>
  </si>
  <si>
    <t>02/02/2003</t>
  </si>
  <si>
    <t>Al-Quwa Al-Jawiya (IRQ)</t>
  </si>
  <si>
    <t>NIZAR ALRASHDAN Nizar Mahmoud Ahmed AL-RASHDAN NIZAR</t>
  </si>
  <si>
    <t>23/03/1999</t>
  </si>
  <si>
    <t>Qatar SC (QAT)</t>
  </si>
  <si>
    <t>ABDALLAH ALFAKHORI Abdallah Ra'ed Mahmoud ALFAKHORI ALFAKHORI</t>
  </si>
  <si>
    <t>Al Wahdat SC (JOR)</t>
  </si>
  <si>
    <t>EHSAN HADDAD Ehsan Manel Farhan HADDAD EHSAN</t>
  </si>
  <si>
    <t>05/02/1994</t>
  </si>
  <si>
    <t>ALI AZAIZEH Ali Ahmad Ali AZAIZEH AZAIZEH</t>
  </si>
  <si>
    <t>13/04/2004</t>
  </si>
  <si>
    <t>Al Shabab FC (KSA)</t>
  </si>
  <si>
    <t>MOHAMMAD ALDAOUD Mohammad Ratib Mohammad ALDAOUD ALDAOUD</t>
  </si>
  <si>
    <t>ANAS BADAWI Anas Said Ghazi BADAWI BADAWI</t>
  </si>
  <si>
    <t>13/09/1997</t>
  </si>
  <si>
    <t>KIM Seunggyu Seunggyu KIM SEUNGGYU</t>
  </si>
  <si>
    <t>30/09/1990</t>
  </si>
  <si>
    <t>LEE Hanbeom Hanbeom LEE HANBEOM</t>
  </si>
  <si>
    <t>17/06/2002</t>
  </si>
  <si>
    <t>LEE Gihyuk Gihyuk LEE GIHYUK</t>
  </si>
  <si>
    <t>07/07/2000</t>
  </si>
  <si>
    <t>Gangwon FC (KOR)</t>
  </si>
  <si>
    <t>KIM Minjae Minjae KIM MINJAE</t>
  </si>
  <si>
    <t>15/11/1996</t>
  </si>
  <si>
    <t>KIM Taehyeon Taehyeon KIM TAEHYEON</t>
  </si>
  <si>
    <t>17/09/2000</t>
  </si>
  <si>
    <t>HWANG Inbeom Inbeom HWANG INBEOM</t>
  </si>
  <si>
    <t>20/09/1996</t>
  </si>
  <si>
    <t>SON Heungmin Heung Min SON HEUNGMIN</t>
  </si>
  <si>
    <t>08/07/1992</t>
  </si>
  <si>
    <t>PAIK Seungho Seungho PAIK SEUNGHO</t>
  </si>
  <si>
    <t>17/03/1997</t>
  </si>
  <si>
    <t>Birmingham City FC (ENG)</t>
  </si>
  <si>
    <t>CHO Guesung Guesung CHO GUESUNG</t>
  </si>
  <si>
    <t>25/01/1998</t>
  </si>
  <si>
    <t>LEE Jaesung Jae Sung LEE JAESUNG</t>
  </si>
  <si>
    <t>10/08/1992</t>
  </si>
  <si>
    <t>HWANG Heechan Hee Chan HWANG HEECHAN</t>
  </si>
  <si>
    <t>26/01/1996</t>
  </si>
  <si>
    <t>SONG Bumkeun Bumkeun SONG BUMKEUN</t>
  </si>
  <si>
    <t>15/10/1997</t>
  </si>
  <si>
    <t>Jeonbuk Hyundai Motors FC (KOR)</t>
  </si>
  <si>
    <t>LEE Taeseok Taeseok LEE TAESEOK</t>
  </si>
  <si>
    <t>28/07/2002</t>
  </si>
  <si>
    <t>FK Austria Wien (AUT)</t>
  </si>
  <si>
    <t>CHO Wije Wije CHO WIJE</t>
  </si>
  <si>
    <t>25/08/2001</t>
  </si>
  <si>
    <t>KIM Moonhwan Moonhwan KIM MOONHWAN</t>
  </si>
  <si>
    <t>01/08/1995</t>
  </si>
  <si>
    <t>Daejeon Hana Citizen FC (KOR)</t>
  </si>
  <si>
    <t>PARK Jinseob Jinseob PARK JINSEOB</t>
  </si>
  <si>
    <t>23/10/1995</t>
  </si>
  <si>
    <t>Zhejiang FC (CHN)</t>
  </si>
  <si>
    <t>CHN</t>
  </si>
  <si>
    <t>BAE Junho Junho BAE JUNHO</t>
  </si>
  <si>
    <t>Stoke City FC (ENG)</t>
  </si>
  <si>
    <t>OH Hyeongyu Hyeongyu OH HYEONGYU</t>
  </si>
  <si>
    <t>12/04/2001</t>
  </si>
  <si>
    <t>LEE Kangin Kangin LEE KANGIN</t>
  </si>
  <si>
    <t>19/02/2001</t>
  </si>
  <si>
    <t>YANG Hyunjun Hyunjun YANG HYUNJUN</t>
  </si>
  <si>
    <t>25/05/2002</t>
  </si>
  <si>
    <t>JO Hyeonwoo Hyeonwoo JO HYEONWOO</t>
  </si>
  <si>
    <t>25/09/1991</t>
  </si>
  <si>
    <t>Ulsan HD (KOR)</t>
  </si>
  <si>
    <t>SEOL Youngwoo Youngwoo SEOL YOUNGWOO</t>
  </si>
  <si>
    <t>CASTROP Jens Jens CASTROP JENS</t>
  </si>
  <si>
    <t>29/07/2003</t>
  </si>
  <si>
    <t>KIM Jingyu Jingyu KIM JINGYU</t>
  </si>
  <si>
    <t>EOM Jisung Jisung EOM JISUNG</t>
  </si>
  <si>
    <t>09/05/2002</t>
  </si>
  <si>
    <t>LEE Donggyeong Donggyeong LEE DONGGYEONG</t>
  </si>
  <si>
    <t>20/09/1997</t>
  </si>
  <si>
    <t>RANGEL Raul José Raúl RANGEL AGUILAR R. RANGEL</t>
  </si>
  <si>
    <t>25/02/2000</t>
  </si>
  <si>
    <t>CD Guadalajara (MEX)</t>
  </si>
  <si>
    <t>SANCHEZ Jorge Jorge Eduardo SÁNCHEZ RAMOS J. SÁNCHEZ</t>
  </si>
  <si>
    <t>10/12/1997</t>
  </si>
  <si>
    <t>MONTES Cesar César Jasib MONTES CASTRO C. MONTES</t>
  </si>
  <si>
    <t>FC Lokomotiv Moscow (RUS)</t>
  </si>
  <si>
    <t>ALVAREZ Edson Edson Omar ÁLVAREZ VELÁZQUEZ E. ÁLVAREZ</t>
  </si>
  <si>
    <t>24/10/1997</t>
  </si>
  <si>
    <t>VASQUEZ Johan Johan Felipe VÁSQUEZ IBARRA J. VÁSQUEZ</t>
  </si>
  <si>
    <t>Genoa CFC (ITA)</t>
  </si>
  <si>
    <t>LIRA Erik Erik Antonio LIRA MÉNDEZ E. LIRA</t>
  </si>
  <si>
    <t>08/05/2000</t>
  </si>
  <si>
    <t>ROMO Luis Luis Francisco ROMO BARRÓN L. ROMO</t>
  </si>
  <si>
    <t>05/06/1995</t>
  </si>
  <si>
    <t>FIDALGO Alvaro Álvaro FIDALGO FERNÁNDEZ FIDALGO</t>
  </si>
  <si>
    <t>09/04/1997</t>
  </si>
  <si>
    <t>JIMENEZ Raul Raúl Alonso JIMÉNEZ RODRÍGUEZ RAÚL</t>
  </si>
  <si>
    <t>05/05/1991</t>
  </si>
  <si>
    <t>VEGA Alexis Ernesto Alexis VEGA ROJAS A. VEGA</t>
  </si>
  <si>
    <t>Deportivo Toluca FC (MEX)</t>
  </si>
  <si>
    <t>GIMENEZ Santiago Santiago Tomás GIMENEZ S. GIMENEZ</t>
  </si>
  <si>
    <t>18/04/2001</t>
  </si>
  <si>
    <t>ACEVEDO Carlos Carlos ACEVEDO LÓPEZ C. ACEVEDO</t>
  </si>
  <si>
    <t>19/04/1996</t>
  </si>
  <si>
    <t>Club Santos Laguna (MEX)</t>
  </si>
  <si>
    <t>OCHOA Guillermo Francisco Guillermo OCHOA MAGAÑA G. OCHOA</t>
  </si>
  <si>
    <t>13/07/1985</t>
  </si>
  <si>
    <t>AEL Limassol (CYP)</t>
  </si>
  <si>
    <t>GONZALEZ Armando Armando GONZÁLEZ ALBA A. GONZÁLEZ</t>
  </si>
  <si>
    <t>20/04/2003</t>
  </si>
  <si>
    <t>REYES Israel Israel REYES ROMERO I. REYES</t>
  </si>
  <si>
    <t>23/05/2000</t>
  </si>
  <si>
    <t>Club América (MEX)</t>
  </si>
  <si>
    <t>QUINONES Julian Julián Andrés QUIÑONES QUIÑONES J. QUIÑONES</t>
  </si>
  <si>
    <t>24/03/1997</t>
  </si>
  <si>
    <t>PINEDA Orbelin Orbelín PINEDA ALVARADO ORBELÍN</t>
  </si>
  <si>
    <t>24/03/1996</t>
  </si>
  <si>
    <t>AEK Athens (GRE)</t>
  </si>
  <si>
    <t>VARGAS Obed Obed Goméz VARGAS O. VARGAS</t>
  </si>
  <si>
    <t>05/08/2005</t>
  </si>
  <si>
    <t>MORA Gilberto Gilberto Rafael MORA ZAMBRANO G. MORA</t>
  </si>
  <si>
    <t>14/10/2008</t>
  </si>
  <si>
    <t>CHAVEZ Mateo Mateo CHÁVEZ GARCÍA M. CHÁVEZ</t>
  </si>
  <si>
    <t>12/05/2004</t>
  </si>
  <si>
    <t>AZ Alkmaar (NED)</t>
  </si>
  <si>
    <t>HUERTA Cesar César Saúl HUERTA VALERA C. HUERTA</t>
  </si>
  <si>
    <t>03/12/2000</t>
  </si>
  <si>
    <t>MARTINEZ Guillermo Guillermo MARTÍNEZ AYALA G. MARTÍNEZ</t>
  </si>
  <si>
    <t>15/03/1995</t>
  </si>
  <si>
    <t>GALLARDO Jesus Jesús Daniel GALLARDO VASCONCELOS J. GALLARDO</t>
  </si>
  <si>
    <t>15/08/1994</t>
  </si>
  <si>
    <t>CHAVEZ Luis Luis Gerardo CHÁVEZ MAGALLÓN L. CHÁVEZ</t>
  </si>
  <si>
    <t>15/01/1996</t>
  </si>
  <si>
    <t>FC Dynamo Moscow (RUS)</t>
  </si>
  <si>
    <t>ALVARADO Roberto Roberto Carlos ALVARADO HERNÁNDEZ R. ALVARADO</t>
  </si>
  <si>
    <t>07/09/1998</t>
  </si>
  <si>
    <t>GUTIERREZ Brian Brian GUTIÉRREZ B. GUTIÉRREZ</t>
  </si>
  <si>
    <t>17/06/2003</t>
  </si>
  <si>
    <t>BOUNOU Yassine Yassine BOUNOU BONO</t>
  </si>
  <si>
    <t>05/04/1991</t>
  </si>
  <si>
    <t>HAKIMI Achraf Achraf HAKIMI HAKIMI</t>
  </si>
  <si>
    <t>04/11/1998</t>
  </si>
  <si>
    <t>MAZRAOUI Noussair Noussair MAZRAOUI MAZRAOUI</t>
  </si>
  <si>
    <t>AMRABAT Sofyan Sofyan AMRABAT AMRABAT</t>
  </si>
  <si>
    <t>21/08/1996</t>
  </si>
  <si>
    <t>SAADANE Marwane Marwane SAADANE SAADANE</t>
  </si>
  <si>
    <t>Al Fateh SC (KSA)</t>
  </si>
  <si>
    <t>BOUADDI Ayyoub Ayyoub BOUADDI BOUADDI</t>
  </si>
  <si>
    <t>02/10/2007</t>
  </si>
  <si>
    <t>TALBI Chemsdine Chemsdine TALBI TALBI</t>
  </si>
  <si>
    <t>09/05/2005</t>
  </si>
  <si>
    <t>OUNAHI Azzedine Azz-Eddine OUNAHI OUNAHI</t>
  </si>
  <si>
    <t>19/04/2000</t>
  </si>
  <si>
    <t>RAHIMI Souane Souane RAHIMI RAHIMI</t>
  </si>
  <si>
    <t>02/06/1996</t>
  </si>
  <si>
    <t>DIAZ Brahim Brahim ABDELKADER DIAZ BRAHIM</t>
  </si>
  <si>
    <t>03/08/1999</t>
  </si>
  <si>
    <t>SAIBARI Ismael Ismael SAIBARI SAIBARI</t>
  </si>
  <si>
    <t>EL KAJOUI Munir Monir EL KAJOUI EL KAJOUI</t>
  </si>
  <si>
    <t>10/05/1989</t>
  </si>
  <si>
    <t>RS Berkane (MAR)</t>
  </si>
  <si>
    <t>EL OUAHDI Zakaria Zakaria EL OUAHDI EL OUAHDI</t>
  </si>
  <si>
    <t>31/12/2001</t>
  </si>
  <si>
    <t>DIOP Issa Issa Laye Lucas Jean DIOP ISSA</t>
  </si>
  <si>
    <t>EL MOURABET Samir Samir EL MOURABET EL MOURABET</t>
  </si>
  <si>
    <t>06/10/2005</t>
  </si>
  <si>
    <t>YASSINE Gessime Gessime Ben Youssef Mustapha YASSINE YASSINE</t>
  </si>
  <si>
    <t>SBAI Amine Mohamed Amine SBAI SBAÏ</t>
  </si>
  <si>
    <t>05/11/2000</t>
  </si>
  <si>
    <t>RIAD Chadi Chadi RIAD RIAD</t>
  </si>
  <si>
    <t>BELAMMARI Youssef Youssef BELAMMARI BELAMMARI</t>
  </si>
  <si>
    <t>20/09/1998</t>
  </si>
  <si>
    <t>EL KAABI Ayoub Ayoub EL KAABI EL KAABI</t>
  </si>
  <si>
    <t>25/06/1993</t>
  </si>
  <si>
    <t>AMAIMOUNI Ayoube Ayoube AMAIMOUNI AMAIMOUNI</t>
  </si>
  <si>
    <t>30/11/2004</t>
  </si>
  <si>
    <t>TAGNAOUTI Ahmed Reda Ahmed Reda TAGNAOUTI TAGNAOUTI</t>
  </si>
  <si>
    <t>05/04/1996</t>
  </si>
  <si>
    <t>ASFAR (MAR)</t>
  </si>
  <si>
    <t>EL KHANNOUSS Bilal Bilal EL KHANNOUSS EL KHANNOUSS</t>
  </si>
  <si>
    <t>10/05/2004</t>
  </si>
  <si>
    <t>EL AYNAOUI Neil Neil Yoni EL AYNAOUI EL AYNAOUI</t>
  </si>
  <si>
    <t>02/07/2001</t>
  </si>
  <si>
    <t>HALHAL Redouane Redouane HALHAL HALHAL</t>
  </si>
  <si>
    <t>05/03/2003</t>
  </si>
  <si>
    <t>KV Mechelen (BEL)</t>
  </si>
  <si>
    <t>SALAH EDDINE Anass Anass SALAH EDDINE SALAH-EDDINE</t>
  </si>
  <si>
    <t>18/01/2002</t>
  </si>
  <si>
    <t>VERBRUGGEN Bart Bart VERBRUGGEN VERBRUGGEN</t>
  </si>
  <si>
    <t>GEERTRUIDA Lutsharel Lutsharel Emiliano GEERTRUIDA GEERTRUIDA</t>
  </si>
  <si>
    <t>18/07/2000</t>
  </si>
  <si>
    <t>DE ROON Marten Marten Elco DE ROON DE ROON</t>
  </si>
  <si>
    <t>VAN DIJK Virgil Virgil VAN DIJK VIRGIL</t>
  </si>
  <si>
    <t>08/07/1991</t>
  </si>
  <si>
    <t>AKE Nathan Nathan Benjamin AKE AKÉ</t>
  </si>
  <si>
    <t>18/02/1995</t>
  </si>
  <si>
    <t>VAN HECKE Jan Paul Jan-Paul VAN HECKE VAN HECKE</t>
  </si>
  <si>
    <t>KLUIVERT Justin Justin Dean KLUIVERT KLUIVERT</t>
  </si>
  <si>
    <t>05/05/1999</t>
  </si>
  <si>
    <t>GRAVENBERCH Ryan Ryan Jiro GRAVENBERCH GRAVENBERCH</t>
  </si>
  <si>
    <t>16/05/2002</t>
  </si>
  <si>
    <t>WEGHORST Wout Wout François Maria WEGHORST WEGHORST</t>
  </si>
  <si>
    <t>07/08/1992</t>
  </si>
  <si>
    <t>DEPAY Memphis Memphis DEPAY MEMPHIS</t>
  </si>
  <si>
    <t>13/02/1994</t>
  </si>
  <si>
    <t>SC Corinthians (BRA)</t>
  </si>
  <si>
    <t>GAKPO Cody Cody Mathès GAKPO GAKPO</t>
  </si>
  <si>
    <t>07/05/1999</t>
  </si>
  <si>
    <t>WIEFFER Mats Mats Henrik Berne WIEFFER WIEFFER</t>
  </si>
  <si>
    <t>16/11/1999</t>
  </si>
  <si>
    <t>ROEFS Robin Robin Gerardus Petrus ROEFS ROEFS</t>
  </si>
  <si>
    <t>17/01/2003</t>
  </si>
  <si>
    <t>REIJNDERS Tijjani Tijjani Martinus Jan REIJNDERS REIJNDERS</t>
  </si>
  <si>
    <t>29/07/1998</t>
  </si>
  <si>
    <t>VAN DE VEN Micky Micky VAN DE VEN VAN DE VEN</t>
  </si>
  <si>
    <t>19/04/2001</t>
  </si>
  <si>
    <t>TIL Guus Guus Berend TIL TIL</t>
  </si>
  <si>
    <t>22/12/1997</t>
  </si>
  <si>
    <t>LANG Noa Noa Noëll LANG LANG</t>
  </si>
  <si>
    <t>17/06/1999</t>
  </si>
  <si>
    <t>MALEN Donyell Donyell MALEN MALEN</t>
  </si>
  <si>
    <t>19/01/1999</t>
  </si>
  <si>
    <t>BROBBEY Brian Brian Ebenezer Adjei BROBBEY BROBBEY</t>
  </si>
  <si>
    <t>01/02/2002</t>
  </si>
  <si>
    <t>KOOPMEINERS Teun Teun KOOPMEINERS KOOPMEINERS</t>
  </si>
  <si>
    <t>28/02/1998</t>
  </si>
  <si>
    <t>DE JONG Frenkie Frenkie DE JONG F. DE JONG</t>
  </si>
  <si>
    <t>12/05/1997</t>
  </si>
  <si>
    <t>DUMFRIES Denzel Denzel Justus Morris DUMFRIES DUMFRIES</t>
  </si>
  <si>
    <t>18/04/1996</t>
  </si>
  <si>
    <t>FLEKKEN Mark Mark Maria Hubertus FLEKKEN FLEKKEN</t>
  </si>
  <si>
    <t>SUMMERVILLE Crysencio Crysencio Jilbert Sylverio Cir SUMMERVILLE SUMMERVILLE</t>
  </si>
  <si>
    <t>30/10/2001</t>
  </si>
  <si>
    <t>HATO Jorrel Jorrel Evan HATO HATO</t>
  </si>
  <si>
    <t>07/03/2006</t>
  </si>
  <si>
    <t>TIMBER Quinten Quinten Ryan Crispito TIMBER Q. TIMBER</t>
  </si>
  <si>
    <t>17/06/2001</t>
  </si>
  <si>
    <t>NZL</t>
  </si>
  <si>
    <t>CROCOMBE Max Maxime Teremoana CROCOMBE CROCOMBE</t>
  </si>
  <si>
    <t>12/08/1993</t>
  </si>
  <si>
    <t>Millwall FC (ENG)</t>
  </si>
  <si>
    <t>PAYNE Tim Timothy John PAYNE PAYNE</t>
  </si>
  <si>
    <t>10/01/1994</t>
  </si>
  <si>
    <t>Wellington Phoenix FC (NZL)</t>
  </si>
  <si>
    <t>DE VRIES Francis Francis DE VRIES DE VRIES</t>
  </si>
  <si>
    <t>28/11/1994</t>
  </si>
  <si>
    <t>Auckland FC (NZL)</t>
  </si>
  <si>
    <t>BINDON Tyler Tyler Grant BINDON BINDON</t>
  </si>
  <si>
    <t>27/01/2005</t>
  </si>
  <si>
    <t>BOXALL Michael Michael Joseph BOXALL BOXALL</t>
  </si>
  <si>
    <t>18/08/1988</t>
  </si>
  <si>
    <t>BELL Joe Joe Zen Robert BELL BELL</t>
  </si>
  <si>
    <t>27/04/1999</t>
  </si>
  <si>
    <t>Viking Stavanger (NOR)</t>
  </si>
  <si>
    <t>ROGERSON Logan Logan Tipene ROGERSON ROGERSON</t>
  </si>
  <si>
    <t>28/05/1998</t>
  </si>
  <si>
    <t>STAMENIC Marko Marko Seufatu Nikola STAMENIC STAMENIC</t>
  </si>
  <si>
    <t>19/02/2002</t>
  </si>
  <si>
    <t>WOOD Chris Christopher Grant WOOD WOOD</t>
  </si>
  <si>
    <t>07/12/1991</t>
  </si>
  <si>
    <t>SINGH Sarpreet Sarpreet SINGH SINGH</t>
  </si>
  <si>
    <t>20/02/1999</t>
  </si>
  <si>
    <t>JUST Elijah Elijah Henry JUST JUST</t>
  </si>
  <si>
    <t>Motherwell FC (SCO)</t>
  </si>
  <si>
    <t>PAULSEN Alex Alexander Noah PAULSEN PAULSEN</t>
  </si>
  <si>
    <t>04/07/2002</t>
  </si>
  <si>
    <t>Lechia Gdańsk (POL)</t>
  </si>
  <si>
    <t>CACACE Liberato Liberato Gianpaolo CACACE CACACE</t>
  </si>
  <si>
    <t>27/09/2000</t>
  </si>
  <si>
    <t>Wrexham AFC (WAL)</t>
  </si>
  <si>
    <t>RUFER Alex Alex Arthur RUFER RUFER</t>
  </si>
  <si>
    <t>PIJNAKER Nando Nando Zen PIJNAKER PIJNAKER</t>
  </si>
  <si>
    <t>25/02/1999</t>
  </si>
  <si>
    <t>SURMAN Finn Finn SURMAN SURMAN</t>
  </si>
  <si>
    <t>Portland Timbers (USA)</t>
  </si>
  <si>
    <t>BARBAROUSES Kosta Kosta BARBAROUSES BARBAROUSES</t>
  </si>
  <si>
    <t>19/02/1990</t>
  </si>
  <si>
    <t>WS Wanderers FC (AUS)</t>
  </si>
  <si>
    <t>WAINE Ben Benjamin Peter WAINE WAINE</t>
  </si>
  <si>
    <t>11/06/2001</t>
  </si>
  <si>
    <t>Port Vale FC (ENG)</t>
  </si>
  <si>
    <t>OLD Ben Benjamin Craig OLD OLD</t>
  </si>
  <si>
    <t>13/08/2002</t>
  </si>
  <si>
    <t>McCOWATT Callum Callum William MCCOWATT MCCOWATT</t>
  </si>
  <si>
    <t>30/04/1999</t>
  </si>
  <si>
    <t>Silkeborg IF (DEN)</t>
  </si>
  <si>
    <t>RANDALL Jesse Jesse Carmichael RANDALL RANDALL</t>
  </si>
  <si>
    <t>19/08/2002</t>
  </si>
  <si>
    <t>WOUD Michael Michael Cornelis WOUD WOUD</t>
  </si>
  <si>
    <t>16/01/1999</t>
  </si>
  <si>
    <t>THOMAS Ryan Ryan Jared THOMAS THOMAS</t>
  </si>
  <si>
    <t>20/12/1994</t>
  </si>
  <si>
    <t>ELLIOT Callan Callan Rennie ELLIOT ELLIOT</t>
  </si>
  <si>
    <t>BAYLISS Lachlan Lachlan Ryan BAYLISS BAYLISS</t>
  </si>
  <si>
    <t>24/07/2002</t>
  </si>
  <si>
    <t>Newcastle United Jets FC (AUS)</t>
  </si>
  <si>
    <t>SMITH Tommy Thomas Jefferson SMITH SMITH</t>
  </si>
  <si>
    <t>31/03/1990</t>
  </si>
  <si>
    <t>Braintree Town FC (ENG)</t>
  </si>
  <si>
    <t>NYLAND Orjan Ørjan Haskjold NYLAND NYLAND</t>
  </si>
  <si>
    <t>10/09/1990</t>
  </si>
  <si>
    <t>Sevilla FC (ESP)</t>
  </si>
  <si>
    <t>THORSBY Morten Morten THORSBY THORSBY</t>
  </si>
  <si>
    <t>05/05/1996</t>
  </si>
  <si>
    <t>US Cremonese (ITA)</t>
  </si>
  <si>
    <t>AJER Kristoffer Kristoffer Vassbakk Köpp AJER VASSBAKK AJER</t>
  </si>
  <si>
    <t>17/04/1998</t>
  </si>
  <si>
    <t>OSTIGARD Leo Leo Skiri ØSTIGÅRD ØSTIGÅRD</t>
  </si>
  <si>
    <t>28/11/1999</t>
  </si>
  <si>
    <t>MOLLER WOLFE David David Møller WOLFE MØLLER WOLFE</t>
  </si>
  <si>
    <t>23/04/2002</t>
  </si>
  <si>
    <t>BERG Patrick Patrick BERG BERG</t>
  </si>
  <si>
    <t>24/11/1997</t>
  </si>
  <si>
    <t>FK Bodø/Glimt (NOR)</t>
  </si>
  <si>
    <t>SORLOTH Alexander Alexander SØRLOTH SØRLOTH</t>
  </si>
  <si>
    <t>BERGE Sander Sander Gard Bolin BERGE BERGE</t>
  </si>
  <si>
    <t>14/02/1998</t>
  </si>
  <si>
    <t>HAALAND Erling Erling Braut HAALAND BRAUT HAALAND</t>
  </si>
  <si>
    <t>21/07/2000</t>
  </si>
  <si>
    <t>ODEGAARD Martin Martín ØDEGAARD ØDEGAARD</t>
  </si>
  <si>
    <t>17/12/1998</t>
  </si>
  <si>
    <t>STRAND LARSEN Jorgen Jørgen Strand LARSEN STRAND LARSEN</t>
  </si>
  <si>
    <t>06/02/2000</t>
  </si>
  <si>
    <t>TANGVIK Sander Sander TANGVIK TANGVIK</t>
  </si>
  <si>
    <t>29/11/2002</t>
  </si>
  <si>
    <t>SELVIK Egil Egil SELVIK SELVIK</t>
  </si>
  <si>
    <t>30/07/1997</t>
  </si>
  <si>
    <t>AURSNES Fredrik Fredrik AURSNES AURSNES</t>
  </si>
  <si>
    <t>10/12/1995</t>
  </si>
  <si>
    <t>BJORKAN Fredrik Andre Fredrik André BJØRKAN BJØRKAN</t>
  </si>
  <si>
    <t>HOLMGREN PEDERSEN Marcus Marcus Holmgren PEDERSEN HOLMGREN</t>
  </si>
  <si>
    <t>16/07/2000</t>
  </si>
  <si>
    <t>HEGGEM Torbjorn Torbjørn Lysaker HEGGEM HEGGEM</t>
  </si>
  <si>
    <t>12/01/1999</t>
  </si>
  <si>
    <t>THORSTVEDT Kristian Kristian THORSTVEDT THORSTVEDT</t>
  </si>
  <si>
    <t>13/03/1999</t>
  </si>
  <si>
    <t>AASGAARD Thelo Thelonious Gerard AASGAARD AASGAARD</t>
  </si>
  <si>
    <t>02/05/2002</t>
  </si>
  <si>
    <t>NUSA Antonio Antonio Eromonsele Nordby NUSA NUSA</t>
  </si>
  <si>
    <t>17/04/2005</t>
  </si>
  <si>
    <t>SCHJELDERUP Andreas Andreas Rædergård SCHJELDERUP SCHJELDERUP</t>
  </si>
  <si>
    <t>01/06/2004</t>
  </si>
  <si>
    <t>BOBB Oscar Oscar BOBB BOBB</t>
  </si>
  <si>
    <t>HAUGE Jens Petter Jens Petter HAUGE HAUGE</t>
  </si>
  <si>
    <t>12/10/1999</t>
  </si>
  <si>
    <t>LANGAS Sondre Sondre Klingen LANGÅS LANGÅS</t>
  </si>
  <si>
    <t>02/02/2001</t>
  </si>
  <si>
    <t>Derby County FC (ENG)</t>
  </si>
  <si>
    <t>FALCHENER Henrik Henrik Sælebakke FALCHENER FALCHENER</t>
  </si>
  <si>
    <t>08/05/2003</t>
  </si>
  <si>
    <t>RYERSON Julian Julian RYERSON RYERSON</t>
  </si>
  <si>
    <t>17/11/1997</t>
  </si>
  <si>
    <t>PAN</t>
  </si>
  <si>
    <t>MEJIA Luis Luis Ricardo MEJÍA CAJAR MEJIA</t>
  </si>
  <si>
    <t>16/03/1991</t>
  </si>
  <si>
    <t>Club Nacional (URU)</t>
  </si>
  <si>
    <t>URU</t>
  </si>
  <si>
    <t>BLACKMAN Cesar Cesar Rodolfo BLACKMAN CAMARENA BLACKMAN</t>
  </si>
  <si>
    <t>02/04/1998</t>
  </si>
  <si>
    <t>ŠK Slovan Bratislava (SVK)</t>
  </si>
  <si>
    <t>CORDOBA Jose Jose Angel CORDOBA CHAMBERS CORDOBA</t>
  </si>
  <si>
    <t>03/06/2001</t>
  </si>
  <si>
    <t>ESCOBAR Fidel Fidel ESCOBAR MENDIETA F. ESCOBAR</t>
  </si>
  <si>
    <t>Deportivo Saprissa (CRC)</t>
  </si>
  <si>
    <t>CRC</t>
  </si>
  <si>
    <t>FARINA Edgardo Edgardo Issac FARIÑA WYNTER FARIÑA</t>
  </si>
  <si>
    <t>19/10/2001</t>
  </si>
  <si>
    <t>FC Pari Nizhny Novgorod (RUS)</t>
  </si>
  <si>
    <t>MARTINEZ Cristian Cristian Jesus MARTINEZ MARTÍNEZ</t>
  </si>
  <si>
    <t>06/02/1997</t>
  </si>
  <si>
    <t>Hapoel Kiryat Shmona FC (ISR)</t>
  </si>
  <si>
    <t>RODRIGUEZ Jose Luis Jose Luis RODRIGUEZ FRANCIS J.L. RODRÍGUEZ</t>
  </si>
  <si>
    <t>19/06/1998</t>
  </si>
  <si>
    <t>FC Juárez (MEX)</t>
  </si>
  <si>
    <t>CARRASQUILLA Adalberto Adalberto Eliecer CARRASQUILLA ALCAZAR CARRASQUILLA</t>
  </si>
  <si>
    <t>RODRIGUEZ Tomas Tomas Abdiel RODRIGUEZ MENA T. RODRÍGUEZ</t>
  </si>
  <si>
    <t>DIAZ Ismael Ismael DIAZ DE LEON ISMAEL</t>
  </si>
  <si>
    <t>Club León (MEX)</t>
  </si>
  <si>
    <t>BARCENAS Edgar Yoel Edgar Yoel BARCENAS HERRERA BÁRCENAS</t>
  </si>
  <si>
    <t>Mazatlán FC (MEX)</t>
  </si>
  <si>
    <t>SAMUDIO Cesar Cesar Jair SAMUDIO MURILLO SAMUDIO</t>
  </si>
  <si>
    <t>23/02/1994</t>
  </si>
  <si>
    <t>CD Marathón (HON)</t>
  </si>
  <si>
    <t>HON</t>
  </si>
  <si>
    <t>RAMOS Jiovany Jiovany Javier RAMOS DIAZ RAMOS</t>
  </si>
  <si>
    <t>26/01/1997</t>
  </si>
  <si>
    <t>Puerto Cabello CF (VEN)</t>
  </si>
  <si>
    <t>VEN</t>
  </si>
  <si>
    <t>HARVEY Carlos Carlos Miguel HARVEY CESNEROS HARVEY</t>
  </si>
  <si>
    <t>03/02/2000</t>
  </si>
  <si>
    <t>DAVIS Eric Eric Javier DAVIS GRAJALES DAVIS</t>
  </si>
  <si>
    <t>31/03/1991</t>
  </si>
  <si>
    <t>CD Plaza Amador (PAN)</t>
  </si>
  <si>
    <t>ANDRADE Andres Andres Alberto ANDRADE CEDEÑO ANDRADE</t>
  </si>
  <si>
    <t>16/10/1998</t>
  </si>
  <si>
    <t>FAJARDO Jose Jose FAJARDO NELSON FAJARDO</t>
  </si>
  <si>
    <t>18/08/1993</t>
  </si>
  <si>
    <t>CD Universidad Católica (ECU)</t>
  </si>
  <si>
    <t>WATERMAN Cecilio Cecilio Alfonso WATERMAN RUIZ WATERMAN</t>
  </si>
  <si>
    <t>13/04/1991</t>
  </si>
  <si>
    <t>CD Universidad De Concepción (CHI)</t>
  </si>
  <si>
    <t>CHI</t>
  </si>
  <si>
    <t>QUINTERO Alberto Alberto Abdiel QUINTERO MEDINA QUINTERO</t>
  </si>
  <si>
    <t>18/12/1987</t>
  </si>
  <si>
    <t>GODOY Anibal Anibal Casis GODOY LEMUS GODOY</t>
  </si>
  <si>
    <t>10/02/1990</t>
  </si>
  <si>
    <t>YANIS Cesar Cesar Augusto YANIS VELASCO YANIS</t>
  </si>
  <si>
    <t>28/01/1996</t>
  </si>
  <si>
    <t>CD Cobresal (CHI)</t>
  </si>
  <si>
    <t>MOSQUERA Orlando Orlando MOSQUERA MOSQUERA</t>
  </si>
  <si>
    <t>25/12/1994</t>
  </si>
  <si>
    <t>Al Fayha FC (KSA)</t>
  </si>
  <si>
    <t>MURILLO Amir Michael Amir MURILLO BERMUDEZ A. MURILLO</t>
  </si>
  <si>
    <t>LONDONO Azarias Azarías Emmanuel LONDOÑO GONZALEZ LONDOÑO</t>
  </si>
  <si>
    <t>MILLER Roderick Roderick Alonso MILLER MOLINA MILLER</t>
  </si>
  <si>
    <t>03/04/1992</t>
  </si>
  <si>
    <t>Turan Tovuz (AZE)</t>
  </si>
  <si>
    <t>AZE</t>
  </si>
  <si>
    <t>GUTIERREZ Jorge Jorge Abdiel GUTIERREZ CORNEJO GUTIÉRREZ</t>
  </si>
  <si>
    <t>01/09/1998</t>
  </si>
  <si>
    <t>Deportivo La Guaira (VEN)</t>
  </si>
  <si>
    <t>PAR</t>
  </si>
  <si>
    <t>FERNANDEZ Gatito Roberto Junior FERNANDEZ TORRES FERNÁNDEZ</t>
  </si>
  <si>
    <t>29/03/1988</t>
  </si>
  <si>
    <t>Cerro Porteño (PAR)</t>
  </si>
  <si>
    <t>VELAZQUEZ Gustavo Victor Gustavo VELAZQUEZ RAMOS VELÁZQUEZ</t>
  </si>
  <si>
    <t>17/04/1991</t>
  </si>
  <si>
    <t>ALDERETE Omar Omar Federico ALDERETE FERNANDEZ ALDERETE</t>
  </si>
  <si>
    <t>26/12/1996</t>
  </si>
  <si>
    <t>CACERES Juan Jose Juan Jose CACERES CÁCERES</t>
  </si>
  <si>
    <t>01/06/2000</t>
  </si>
  <si>
    <t>BALBUENA Fabian Fabián Cornelio BALBUENA GONZÁLEZ BALBUENA</t>
  </si>
  <si>
    <t>23/08/1991</t>
  </si>
  <si>
    <t>ALONSO Junior Júnior Osmar Ignacio ALONSO MUJICA ALONSO</t>
  </si>
  <si>
    <t>09/02/1993</t>
  </si>
  <si>
    <t>SOSA Ramon Ramón SOSA ACOSTA SOSA</t>
  </si>
  <si>
    <t>31/08/1999</t>
  </si>
  <si>
    <t>GOMEZ Diego Diego Alexander GOMEZ AMARILLA D. GÓMEZ</t>
  </si>
  <si>
    <t>27/03/2003</t>
  </si>
  <si>
    <t>SANABRIA Antonio Arnaldo Antonio SANABRIA AYALA SANABRIA</t>
  </si>
  <si>
    <t>04/03/1996</t>
  </si>
  <si>
    <t>ALMIRON Miguel Miguel Angel ALMIRON REJALA ALMIRÓN</t>
  </si>
  <si>
    <t>10/02/1994</t>
  </si>
  <si>
    <t>Atlanta United FC (USA)</t>
  </si>
  <si>
    <t>MAURICIO Mauricio MAGALHAES PRADO MAURICIO</t>
  </si>
  <si>
    <t>22/06/2001</t>
  </si>
  <si>
    <t>GILL Orlando Orlando Daniel GILL NOLDIN O. GILL</t>
  </si>
  <si>
    <t>11/06/2000</t>
  </si>
  <si>
    <t>CA San Lorenzo (ARG)</t>
  </si>
  <si>
    <t>CANALE Jose Jose Maria CANALE DOMINGUEZ CANALE</t>
  </si>
  <si>
    <t>CA Lanús (ARG)</t>
  </si>
  <si>
    <t>CUBAS Andres Adrián Andrés CUBAS CUBAS</t>
  </si>
  <si>
    <t>11/05/1996</t>
  </si>
  <si>
    <t>Vancouver Whitecaps FC (CAN)</t>
  </si>
  <si>
    <t>GOMEZ Gustavo Gustavo Raul GÓMEZ PORTILLO G. GÓMEZ</t>
  </si>
  <si>
    <t>06/05/1993</t>
  </si>
  <si>
    <t>BOBADILLA Damian Damián Josue BOBADILLA BENITEZ BOBADILLA</t>
  </si>
  <si>
    <t>11/07/2001</t>
  </si>
  <si>
    <t>São Paulo FC (BRA)</t>
  </si>
  <si>
    <t>ROMERO GAMARRA Alejandro Alejandro Sebastian ROMERO GAMARRA R. GAMARRA</t>
  </si>
  <si>
    <t>11/01/1995</t>
  </si>
  <si>
    <t>ARCE Alex Alex Adrian ARCE BARRIOS ARCE</t>
  </si>
  <si>
    <t>16/06/1995</t>
  </si>
  <si>
    <t>CS Independiente Rivadavia (ARG)</t>
  </si>
  <si>
    <t>ENCISO Julio Julio Cesar ENCISO ESPINOLA ENCISO</t>
  </si>
  <si>
    <t>23/01/2004</t>
  </si>
  <si>
    <t>OJEDA Braian Braian Oscar OJEDA RODRIGUEZ OJEDA</t>
  </si>
  <si>
    <t>27/06/2000</t>
  </si>
  <si>
    <t>AVALOS Gabriel Gabriel AVALOS STUMPFS AVALOS</t>
  </si>
  <si>
    <t>09/07/1991</t>
  </si>
  <si>
    <t>OLVEIRA Gaston Gastón Hernán OLVEIRA ECHEVERRIA OLVEIRA</t>
  </si>
  <si>
    <t>21/04/1993</t>
  </si>
  <si>
    <t>Club Olimpia (PAR)</t>
  </si>
  <si>
    <t>GALARZA Matias Matias GALARZA FONDA GALARZA</t>
  </si>
  <si>
    <t>CABALLERO Gustavo Gustavo Ruben CABALLERO GONZALEZ CABALLERO</t>
  </si>
  <si>
    <t>21/09/2001</t>
  </si>
  <si>
    <t>Portsmouth FC (ENG)</t>
  </si>
  <si>
    <t>PITTA Isidro Isidro Miguel PITTA SALDIVAR PITTA</t>
  </si>
  <si>
    <t>14/08/1999</t>
  </si>
  <si>
    <t>Red Bull Bragantino (BRA)</t>
  </si>
  <si>
    <t>MAIDANA Alexandro Alexandro MAIDANA MENDIETA MAIDANA</t>
  </si>
  <si>
    <t>26/07/2005</t>
  </si>
  <si>
    <t>CA Talleres (ARG)</t>
  </si>
  <si>
    <t>DIOGO COSTA Diogo MEIRELES DA COSTA DIOGO COSTA</t>
  </si>
  <si>
    <t>19/09/1999</t>
  </si>
  <si>
    <t>NELSON SEMEDO Nélson CABRAL SEMEDO N. SEMEDO</t>
  </si>
  <si>
    <t>16/11/1993</t>
  </si>
  <si>
    <t>RUBEN DIAS Rúben DOS SANTOS GATO ALVES DIAS RÚBEN DIAS</t>
  </si>
  <si>
    <t>TOMAS ARAUJO Tomás LEMOS ARAÚJO TOMÁS A.</t>
  </si>
  <si>
    <t>DIOGO DALOT José Diogo DALOT TEIXEIRA DALOT</t>
  </si>
  <si>
    <t>18/03/1999</t>
  </si>
  <si>
    <t>MATHEUS NUNES Matheus Luiz NUNES MATHEUS N.</t>
  </si>
  <si>
    <t>27/08/1998</t>
  </si>
  <si>
    <t>CRISTIANO RONALDO Cristiano Ronaldo DOS SANTOS AVEIRO RONALDO</t>
  </si>
  <si>
    <t>05/02/1985</t>
  </si>
  <si>
    <t>Al Nassr FC (KSA)</t>
  </si>
  <si>
    <t>BRUNO FERNANDES Bruno Miguel BORGES FERNANDES B. FERNANDES</t>
  </si>
  <si>
    <t>08/09/1994</t>
  </si>
  <si>
    <t>GONCALO RAMOS Gonçalo MATIAS RAMOS G. RAMOS</t>
  </si>
  <si>
    <t>20/06/2001</t>
  </si>
  <si>
    <t>BERNARDO SILVA Bernardo MOTA VEIGA DE CARVALHO E SILVA BERNARDO</t>
  </si>
  <si>
    <t>10/08/1994</t>
  </si>
  <si>
    <t>JOAO FELIX João FÉLIX SEQUEIRA JOÃO FÉLIX</t>
  </si>
  <si>
    <t>10/11/1999</t>
  </si>
  <si>
    <t>JOSE SA José Pedro MALHEIRO DE SÁ JOSÉ SÁ</t>
  </si>
  <si>
    <t>17/01/1993</t>
  </si>
  <si>
    <t>RENATO VEIGA Renato DA PALMA VEIGA RENATO VEIGA</t>
  </si>
  <si>
    <t>GONCALO INACIO Gonçalo BERNARDO INÁCIO G. INÁCIO</t>
  </si>
  <si>
    <t>JOAO NEVES João Pedro GONÇALVES NEVES JOÃO NEVES</t>
  </si>
  <si>
    <t>27/09/2004</t>
  </si>
  <si>
    <t>FRANCISCO TRINCAO Francisco António MACHADO MOTA DE CASTRO TRINCÃO TRINCÃO</t>
  </si>
  <si>
    <t>29/12/1999</t>
  </si>
  <si>
    <t>RAFAEL LEAO Rafael Alexandre DA CONCEIÇÃO LEÃO RAFA LEÃO</t>
  </si>
  <si>
    <t>10/06/1999</t>
  </si>
  <si>
    <t>PEDRO NETO Pedro LOMBA NETO NETO</t>
  </si>
  <si>
    <t>09/03/2000</t>
  </si>
  <si>
    <t>GONCALO GUEDES Gonçalo Manuel GANCHINHO GUEDES G. GUEDES</t>
  </si>
  <si>
    <t>JOAO CANCELO João Pedro CAVACO CANCELO JOÃO CANCELO</t>
  </si>
  <si>
    <t>27/05/1994</t>
  </si>
  <si>
    <t>RUBEN NEVES Rúben Diogo DA SILVA NEVES R. NEVES</t>
  </si>
  <si>
    <t>13/03/1997</t>
  </si>
  <si>
    <t>RUI SILVA Rui Tiago DANTAS DA SILVA RUI SILVA</t>
  </si>
  <si>
    <t>VITINHA Vitor MACHADO FERREIRA VITINHA</t>
  </si>
  <si>
    <t>13/02/2000</t>
  </si>
  <si>
    <t>SAMU COSTA Samuel DE ALMEIDA COSTA SAMU</t>
  </si>
  <si>
    <t>27/11/2000</t>
  </si>
  <si>
    <t>NUNO MENDES Nuno Alexandre TAVARES MENDES N. MENDES</t>
  </si>
  <si>
    <t>19/06/2002</t>
  </si>
  <si>
    <t>FRANCISCO CONCEICAO Francisco FERNANDES DA CONCEIÇÃO F. CONCEIÇÃO</t>
  </si>
  <si>
    <t>14/12/2002</t>
  </si>
  <si>
    <t>MAHMOUD ABUNADA Mahmoud Ibrahim M ABUNADA ABUNADA</t>
  </si>
  <si>
    <t>05/02/2000</t>
  </si>
  <si>
    <t>Al Rayyan SC (QAT)</t>
  </si>
  <si>
    <t>PEDRO MIGUEL Pedro Miguel D D CORREIA PEDRO</t>
  </si>
  <si>
    <t>06/08/1990</t>
  </si>
  <si>
    <t>Al Sadd SC (QAT)</t>
  </si>
  <si>
    <t>LUCAS MENDES Lucas Michel MENDES L.MENDES</t>
  </si>
  <si>
    <t>03/07/1990</t>
  </si>
  <si>
    <t>ISSA LAYE Gueye SEYDINAISSALAYE GUEYE</t>
  </si>
  <si>
    <t>Al Arabi SC (QAT)</t>
  </si>
  <si>
    <t>JASSEM GABER Jassem Gaber E ABDULSALLAM JASSEM</t>
  </si>
  <si>
    <t>20/02/2002</t>
  </si>
  <si>
    <t>ABDULAZIZ HATEM Abdelaziz Hatim A MOHAMED A. AZIZ</t>
  </si>
  <si>
    <t>01/01/1990</t>
  </si>
  <si>
    <t>AHMED ALAAELDIN Ahmed Alaaeldin B M ABDELMOTAAL ALAAELDIN</t>
  </si>
  <si>
    <t>31/01/1993</t>
  </si>
  <si>
    <t>EDMILSON JUNIOR Edmilson Junior P DASILVA EDMILSON JR.</t>
  </si>
  <si>
    <t>19/08/1994</t>
  </si>
  <si>
    <t>MOHAMMED MUNTARI Mohammed MUNTARI MUNTARI</t>
  </si>
  <si>
    <t>20/12/1993</t>
  </si>
  <si>
    <t>Al Gharafa SC (QAT)</t>
  </si>
  <si>
    <t>HASSAN ALHAYDOS Hasan Khalid H ALHAYDOS ALHAYDOS</t>
  </si>
  <si>
    <t>11/12/1990</t>
  </si>
  <si>
    <t>AKRAM AFIF Akram Hassan A Y AFIF AFIF</t>
  </si>
  <si>
    <t>18/11/1996</t>
  </si>
  <si>
    <t>KARIM BOUDIAF Karim BOUDIAF KARIM</t>
  </si>
  <si>
    <t>16/09/1990</t>
  </si>
  <si>
    <t>AYOUB ALOUI Ayoub Mohamed ALOUI AYOUB</t>
  </si>
  <si>
    <t>11/03/2005</t>
  </si>
  <si>
    <t>HOMAM AHMED Homam Elamin M AHMED HOMAM</t>
  </si>
  <si>
    <t>25/08/1999</t>
  </si>
  <si>
    <t>Cultural Leonesa (ESP)</t>
  </si>
  <si>
    <t>YUSUF ABDURISAG Yusuf Abdurisag YUSUF YUSUF</t>
  </si>
  <si>
    <t>06/08/1999</t>
  </si>
  <si>
    <t>BOUALEM KHOUKHI Boualem KHOUKHI KHOUKHI</t>
  </si>
  <si>
    <t>09/07/1990</t>
  </si>
  <si>
    <t>AHMED ALGANEHI Ahmed Mohamed H K ALGANEHI A. ALGANEHI</t>
  </si>
  <si>
    <t>22/09/2000</t>
  </si>
  <si>
    <t>SULTAN ALBRAKE Sultan Hussain M H AL-BRAKE SULTAN</t>
  </si>
  <si>
    <t>07/04/1996</t>
  </si>
  <si>
    <t>ALMOEZ ALI Almoez Ali Zainelabdeen M ABDULLA ALMOEZ</t>
  </si>
  <si>
    <t>AHMED FATHY Ahmed Fathy M ABDOULLA A. FATHY</t>
  </si>
  <si>
    <t>SALAH ZAKARIA Salah Zakaria M M HASSAN SALAH</t>
  </si>
  <si>
    <t>24/04/1999</t>
  </si>
  <si>
    <t>MESHAAL BARSHAM Meshaal Aissa M BARSHAM BARSHAM</t>
  </si>
  <si>
    <t>ASSIM MADIBO Assim Omer A MADIBO MADIBO</t>
  </si>
  <si>
    <t>22/10/1996</t>
  </si>
  <si>
    <t>TAHSIN MOHAMMED Tahsin Mohammad JAMSHID TAHSIN</t>
  </si>
  <si>
    <t>16/06/2006</t>
  </si>
  <si>
    <t>ALHASHMI ALHUSSEIN Alhashmi Alhussein A MOHIALDIN ALHASHMI</t>
  </si>
  <si>
    <t>15/08/2003</t>
  </si>
  <si>
    <t>MOHAMED MANAI Mohamed Naceur MANAI MANAI</t>
  </si>
  <si>
    <t>25/10/2002</t>
  </si>
  <si>
    <t>Al Shamal SC (QAT)</t>
  </si>
  <si>
    <t>NAWAF ALAQIDI Nawaf Dhahi F ALAQIDI ALAQIDI</t>
  </si>
  <si>
    <t>10/05/2000</t>
  </si>
  <si>
    <t>ALI MAJRASHI Ali Hassan M MAJRASHI MAJRASHI</t>
  </si>
  <si>
    <t>02/10/1999</t>
  </si>
  <si>
    <t>ALI LAJAMI Ali Mohammed A LAJAMI LAJAMI</t>
  </si>
  <si>
    <t>24/04/1996</t>
  </si>
  <si>
    <t>ABDULELAH ALAMRI Abdulelah Ali A ALAMRI ALAMRI</t>
  </si>
  <si>
    <t>15/01/1997</t>
  </si>
  <si>
    <t>HASSAN ALTAMBAKTI Hassan Mohammed O ALTAMBAKTI ALTAMBAKTI</t>
  </si>
  <si>
    <t>09/02/1999</t>
  </si>
  <si>
    <t>NASSER ALDAWSARI Nasser Essa S ALDAWSARI NASSER</t>
  </si>
  <si>
    <t>19/12/1998</t>
  </si>
  <si>
    <t>MUSAB ALJUWAYR Musab Fahad Z ALJUWAYR MUSAB</t>
  </si>
  <si>
    <t>20/06/2003</t>
  </si>
  <si>
    <t>AIMAN YAHYA Aiman Yahya Y AHMED AIMAN</t>
  </si>
  <si>
    <t>14/05/2001</t>
  </si>
  <si>
    <t>FERAS ALBRIKAN Feras Tariq N ALBRIKAN FERAS</t>
  </si>
  <si>
    <t>14/05/2000</t>
  </si>
  <si>
    <t>SALEM ALDAWSARI Salem Mohammed S ALDAWSARI SALEM</t>
  </si>
  <si>
    <t>19/08/1991</t>
  </si>
  <si>
    <t>SALEH ALSHEHRI Saleh Khalid M ALSHEHRI ALSHEHRI</t>
  </si>
  <si>
    <t>01/11/1993</t>
  </si>
  <si>
    <t>SAUD ABDULHAMID Saud Abdullah S ABDULHAMID SAUD</t>
  </si>
  <si>
    <t>18/07/1999</t>
  </si>
  <si>
    <t>NAWAF BU WASHL Nawaf Meshari M BU WASHL NAWAF</t>
  </si>
  <si>
    <t>16/09/1999</t>
  </si>
  <si>
    <t>HASSAN KADISH Hassan Kadish Y MAHBUB KADISH</t>
  </si>
  <si>
    <t>26/09/1992</t>
  </si>
  <si>
    <t>ABDULLAH ALKHAIBARI Abdullah Mohammed H ALKHAIBARI ALKHAIBARI</t>
  </si>
  <si>
    <t>16/08/1996</t>
  </si>
  <si>
    <t>ZIYAD ALJOHANI Ziyad Mubarak E ALJOHANI ZIYAD</t>
  </si>
  <si>
    <t>11/11/2001</t>
  </si>
  <si>
    <t>KHALID ALGHANNAM Khalid Essa M ALGHANNAM KHALID</t>
  </si>
  <si>
    <t>Al Ettifaq FC (KSA)</t>
  </si>
  <si>
    <t>ALA ALHAJJI Ala Mohsen A ALHAJJI ALHAJJI</t>
  </si>
  <si>
    <t>03/12/1995</t>
  </si>
  <si>
    <t>Neom SC (KSA)</t>
  </si>
  <si>
    <t>ABDULLAH ALHAMDDAN Abdullah Abdulrahman A ALHAMDDAN ALHAMDDAN</t>
  </si>
  <si>
    <t>13/09/1999</t>
  </si>
  <si>
    <t>SULTAN MANDASH Sultan Ahmed M MANDASH MANDASH</t>
  </si>
  <si>
    <t>17/10/1994</t>
  </si>
  <si>
    <t>MOHAMMED ALOWAIS Mohammed Khalil I ALOWAIS ALOWAIS</t>
  </si>
  <si>
    <t>10/10/1991</t>
  </si>
  <si>
    <t>Al Ula Saudi FC (KSA)</t>
  </si>
  <si>
    <t>AHMED ALKASSAR Ahmed Ali H ALKASSAR ALKASSAR</t>
  </si>
  <si>
    <t>08/05/1991</t>
  </si>
  <si>
    <t>MOHAMED KANNO Mohamed Ibrahim A KANNO KANNO</t>
  </si>
  <si>
    <t>22/09/1994</t>
  </si>
  <si>
    <t>MOTEB ALHARBI Moteb Saad S ALHARBI MOTEB</t>
  </si>
  <si>
    <t>20/02/2000</t>
  </si>
  <si>
    <t>JEHAD THIKRI Jehad Abdullatif A THIKRI JEHAD</t>
  </si>
  <si>
    <t>21/07/2001</t>
  </si>
  <si>
    <t>MOHAMMED ABU ALSHAMAT Mohammed Waheeb S ABU ALSHAMAT MOHAMMED</t>
  </si>
  <si>
    <t>11/08/2002</t>
  </si>
  <si>
    <t>GUNN Angus Angus Fraser James GUNN GUNN</t>
  </si>
  <si>
    <t>22/01/1996</t>
  </si>
  <si>
    <t>HICKEY Aaron Aaron Buchanan HICKEY HICKEY</t>
  </si>
  <si>
    <t>10/06/2002</t>
  </si>
  <si>
    <t>ROBERTSON Andy Andrew Henry ROBERTSON ROBERTSON</t>
  </si>
  <si>
    <t>11/03/1994</t>
  </si>
  <si>
    <t>McTOMINAY Scott Scott Francis MCTOMINAY MCTOMINAY</t>
  </si>
  <si>
    <t>08/12/1996</t>
  </si>
  <si>
    <t>HANLEY Grant Grant Campbell HANLEY HANLEY</t>
  </si>
  <si>
    <t>20/11/1991</t>
  </si>
  <si>
    <t>Hibernian FC (SCO)</t>
  </si>
  <si>
    <t>TIERNEY Kieran Kieran TIERNEY TIERNEY</t>
  </si>
  <si>
    <t>05/06/1997</t>
  </si>
  <si>
    <t>McGINN John John MCGINN MCGINN</t>
  </si>
  <si>
    <t>18/10/1994</t>
  </si>
  <si>
    <t>FLETCHER Tyler Tyler Robert FLETCHER FLETCHER</t>
  </si>
  <si>
    <t>19/03/2007</t>
  </si>
  <si>
    <t>DYKES Lyndon Lyndon John DYKES DYKES</t>
  </si>
  <si>
    <t>07/10/1995</t>
  </si>
  <si>
    <t>Charlton Athletic FC (ENG)</t>
  </si>
  <si>
    <t>ADAMS Che Che Sac Everton Fred ADAMS ADAMS</t>
  </si>
  <si>
    <t>13/07/1996</t>
  </si>
  <si>
    <t>CHRISTIE Ryan Ryan CHRISTIE CHRISTIE</t>
  </si>
  <si>
    <t>22/02/1995</t>
  </si>
  <si>
    <t>KELLY Liam Liam Patrick KELLY KELLY</t>
  </si>
  <si>
    <t>23/01/1996</t>
  </si>
  <si>
    <t>HENDRY Jack Jack William HENDRY HENDRY</t>
  </si>
  <si>
    <t>STEWART Ross Ross Cameron STEWART STEWART</t>
  </si>
  <si>
    <t>SOUTTAR John John Francis SOUTTAR SOUTTAR</t>
  </si>
  <si>
    <t>25/09/1996</t>
  </si>
  <si>
    <t>HYAM Dominic Dominic John HYAM HYAM</t>
  </si>
  <si>
    <t>20/12/1995</t>
  </si>
  <si>
    <t>GANNON-DOAK Ben Ben Gannon DOAK GANNON DOAK</t>
  </si>
  <si>
    <t>11/11/2005</t>
  </si>
  <si>
    <t>HIRST George George David Eric HIRST HIRST</t>
  </si>
  <si>
    <t>15/02/1999</t>
  </si>
  <si>
    <t>Ipswich Town FC (ENG)</t>
  </si>
  <si>
    <t>FERGUSON Lewis Lewis FERGUSON FERGUSON</t>
  </si>
  <si>
    <t>24/08/1999</t>
  </si>
  <si>
    <t>SHANKLAND Lawrence Lawrence SHANKLAND SHANKLAND</t>
  </si>
  <si>
    <t>10/08/1995</t>
  </si>
  <si>
    <t>GORDON Craig Craig Sinclair GORDON GORDON</t>
  </si>
  <si>
    <t>31/12/1982</t>
  </si>
  <si>
    <t>PATTERSON Nathan Nathan Kenneth PATTERSON PATTERSON</t>
  </si>
  <si>
    <t>McLEAN Kenny Kenneth MCLEAN MCLEAN</t>
  </si>
  <si>
    <t>08/01/1992</t>
  </si>
  <si>
    <t>RALSTON Anthony Anthony RALSTON RALSTON</t>
  </si>
  <si>
    <t>16/11/1998</t>
  </si>
  <si>
    <t>CURTIS Findlay Findlay Kenneth CURTIS CURTIS</t>
  </si>
  <si>
    <t>09/06/2006</t>
  </si>
  <si>
    <t>McKENNA Scott Scott Fraser MCKENNA MCKENNA</t>
  </si>
  <si>
    <t>12/11/1996</t>
  </si>
  <si>
    <t>SEN</t>
  </si>
  <si>
    <t>DIOUF Yehvann Yehvann Djibril Victor DIOUF Y. DIOUF</t>
  </si>
  <si>
    <t>SARR Mamadou Mamadou SARR SARR</t>
  </si>
  <si>
    <t>29/08/2005</t>
  </si>
  <si>
    <t>KOULIBALY Kalidou Kalidou KOULIBALY KOULIBALY</t>
  </si>
  <si>
    <t>20/06/1991</t>
  </si>
  <si>
    <t>SECK Abdoulaye Abdoulaye SECK SECK</t>
  </si>
  <si>
    <t>04/06/1992</t>
  </si>
  <si>
    <t>GUEYE Idrissa Gana Idrissa Gana GUEYE GANA</t>
  </si>
  <si>
    <t>26/09/1989</t>
  </si>
  <si>
    <t>CISS Pathe Ismaila Pathe CISS P.I. CISS</t>
  </si>
  <si>
    <t>16/03/1994</t>
  </si>
  <si>
    <t>DIAO Assane Assane DIAO A. DIAO</t>
  </si>
  <si>
    <t>07/09/2005</t>
  </si>
  <si>
    <t>CAMARA Lamine Lamine CAMARA LAMINE</t>
  </si>
  <si>
    <t>01/01/2004</t>
  </si>
  <si>
    <t>DIENG Bamba Cheikh Ahmadou Bamba Mbacke DIENG BAMBA</t>
  </si>
  <si>
    <t>23/03/2000</t>
  </si>
  <si>
    <t>FC Lorient (FRA)</t>
  </si>
  <si>
    <t>MANE Sadio Sadio MANE MANÉ</t>
  </si>
  <si>
    <t>10/04/1992</t>
  </si>
  <si>
    <t>JACKSON Nicolas Nicolas JACKSON N. JACKSON</t>
  </si>
  <si>
    <t>NDIAYE Cherif Pape Cherif NDIAYE CHÉRIF</t>
  </si>
  <si>
    <t>Samsunspor (TUR)</t>
  </si>
  <si>
    <t>NDIAYE Iliman Iliman Cheikh Baroy NDIAYE NDIAYE</t>
  </si>
  <si>
    <t>06/03/2000</t>
  </si>
  <si>
    <t>JAKOBS Ismail Ismail Joshua JAKOBS JAKOBS</t>
  </si>
  <si>
    <t>17/08/1999</t>
  </si>
  <si>
    <t>DIATTA Krepin Krepin DIATTA DIATTA</t>
  </si>
  <si>
    <t>MENDY Edouard Edouard Osoque MENDY MENDY</t>
  </si>
  <si>
    <t>01/03/1992</t>
  </si>
  <si>
    <t>SARR Pape Matar Pape Matar SARR P.M. SARR</t>
  </si>
  <si>
    <t>14/09/2002</t>
  </si>
  <si>
    <t>SARR Ismaila Ismaila SARR ISMAÏLA</t>
  </si>
  <si>
    <t>25/02/1998</t>
  </si>
  <si>
    <t>NIAKHATE Moussa Moussa NIAKHATE NIAKHATÉ</t>
  </si>
  <si>
    <t>08/03/1996</t>
  </si>
  <si>
    <t>MBAYE Ibrahim Ibrahim MBAYE I. MBAYE</t>
  </si>
  <si>
    <t>24/01/2008</t>
  </si>
  <si>
    <t>DIARRA Habib Mouhamadou Habib Mbacke DIARRA H. DIARRA</t>
  </si>
  <si>
    <t>03/01/2004</t>
  </si>
  <si>
    <t>NDIAYE Bara Sapoko Bara Sapoko NDIAYE BARA</t>
  </si>
  <si>
    <t>31/12/2007</t>
  </si>
  <si>
    <t>DIAW Mory Mory DIAW DIAW</t>
  </si>
  <si>
    <t>22/06/1993</t>
  </si>
  <si>
    <t>MENDY Antoine Antoine Alpha MENDY A. MENDY</t>
  </si>
  <si>
    <t>27/05/2004</t>
  </si>
  <si>
    <t>DIOUF El Hadji Malick El Hadji Malick DIOUF DIOUF</t>
  </si>
  <si>
    <t>29/12/2004</t>
  </si>
  <si>
    <t>GUEYE Pape Pape Alassane GUEYE GUEYE</t>
  </si>
  <si>
    <t>24/01/1999</t>
  </si>
  <si>
    <t>RSA</t>
  </si>
  <si>
    <t>WILLIAMS Ronwen Ronwen Hayden WILLIAMS WILLIAMS</t>
  </si>
  <si>
    <t>21/01/1992</t>
  </si>
  <si>
    <t>Mamelodi Sundowns FC (RSA)</t>
  </si>
  <si>
    <t>MATULUDI Thabang Tholo Thabang MATULUDI MATULUDI</t>
  </si>
  <si>
    <t>Polokwane City FC (RSA)</t>
  </si>
  <si>
    <t>NDAMANE Khulumani Khulumani NDAMANE NDAMANE</t>
  </si>
  <si>
    <t>05/02/2004</t>
  </si>
  <si>
    <t>MOKOENA Teboho Teboho MOKOENA MOKOENA</t>
  </si>
  <si>
    <t>24/01/1997</t>
  </si>
  <si>
    <t>MBATHA Thalente Thalente Wandile MBATHA MBATHA</t>
  </si>
  <si>
    <t>Orlando Pirates FC (RSA)</t>
  </si>
  <si>
    <t>MODIBA Aubrey Aubrey Maphosa MODIBA MODIBA</t>
  </si>
  <si>
    <t>22/07/1995</t>
  </si>
  <si>
    <t>APPOLLIS Oswin Oswin Reagan APPOLLIS APPOLLIS</t>
  </si>
  <si>
    <t>MOREMI Tshepang Tshepang MOREMI MOREMI</t>
  </si>
  <si>
    <t>02/10/2000</t>
  </si>
  <si>
    <t>FOSTER Lyle Lyle Brent FOSTER FOSTER</t>
  </si>
  <si>
    <t>03/09/2000</t>
  </si>
  <si>
    <t>MOFOKENG Relebohile Relebohile MOFOKENG MOFOKENG</t>
  </si>
  <si>
    <t>23/10/2004</t>
  </si>
  <si>
    <t>ZWANE Themba Themba ZWANE ZWANE</t>
  </si>
  <si>
    <t>03/08/1989</t>
  </si>
  <si>
    <t>MASEKO Thapelo Thapelo MASEKO MASEKO</t>
  </si>
  <si>
    <t>11/11/2003</t>
  </si>
  <si>
    <t>SITHOLE Sphephelo Sphephelo S'miso SITHOLE SITHOLE</t>
  </si>
  <si>
    <t>CD Tondela (POR)</t>
  </si>
  <si>
    <t>MBOKAZI Mbekezeli Mbekezeli Mfanukile MBOKAZI MBOKAZI</t>
  </si>
  <si>
    <t>19/09/2005</t>
  </si>
  <si>
    <t>RAYNERS Iqraam Iqraam RAYNERS RAYNERS</t>
  </si>
  <si>
    <t>19/12/1995</t>
  </si>
  <si>
    <t>CHAINE Sipho Sipho Justin CHAINE CHAINE</t>
  </si>
  <si>
    <t>MAKGOPA Evidence Sekotori Evidence MAKGOPA MAKGPA</t>
  </si>
  <si>
    <t>KABINI Samukele Samukele Alucious KABINI KABINI</t>
  </si>
  <si>
    <t>15/03/2004</t>
  </si>
  <si>
    <t>Molde FK (NOR)</t>
  </si>
  <si>
    <t>SIBISI Nkosinathi Nkosinathi Emmanuel SIBISI SIBISI</t>
  </si>
  <si>
    <t>22/09/1995</t>
  </si>
  <si>
    <t>MUDAU Khuliso Khuliso Johnson MUDAU MUDAU</t>
  </si>
  <si>
    <t>26/04/1995</t>
  </si>
  <si>
    <t>OKON Ime Ime Daniel OKON OKON</t>
  </si>
  <si>
    <t>20/02/2004</t>
  </si>
  <si>
    <t>Hannover 96 (GER)</t>
  </si>
  <si>
    <t>GOSS Ricardo Stuart Ricardo GOSS GOSS</t>
  </si>
  <si>
    <t>02/04/1994</t>
  </si>
  <si>
    <t>Siwelele FC (RSA)</t>
  </si>
  <si>
    <t>MAKHANYA Olwethu Olwethu Mpilwenhle MAKHANYA MAKHANYA</t>
  </si>
  <si>
    <t>30/04/2004</t>
  </si>
  <si>
    <t>SEBELEBELE Kamogelo Kamogelo Michael SEBELEBELE SEBELEBELE</t>
  </si>
  <si>
    <t>21/07/2002</t>
  </si>
  <si>
    <t>CROSS Bradley Bradley Paul CROSS CROSS</t>
  </si>
  <si>
    <t>30/01/2001</t>
  </si>
  <si>
    <t>Kaizer Chiefs FC (RSA)</t>
  </si>
  <si>
    <t>RAYA David David RAYA MARTÍN RAYA</t>
  </si>
  <si>
    <t>PUBILL Marc Marc PUBILL PAGES MARC PUBILL</t>
  </si>
  <si>
    <t>GRIMALDO Alex Alejandro GRIMALDO GARCÍA GRIMALDO</t>
  </si>
  <si>
    <t>20/09/1995</t>
  </si>
  <si>
    <t>GARCIA Eric Eric GARCÍA MARTRET ERIC</t>
  </si>
  <si>
    <t>09/01/2001</t>
  </si>
  <si>
    <t>LLORENTE Marcos Marcos LLORENTE MORENO M. LLORENTE</t>
  </si>
  <si>
    <t>30/01/1995</t>
  </si>
  <si>
    <t>MERINO Mikel Mikel MERINO ZAZÓN MERINO</t>
  </si>
  <si>
    <t>22/06/1996</t>
  </si>
  <si>
    <t>TORRES Ferran Ferran TORRES GARCÍA FERRAN</t>
  </si>
  <si>
    <t>29/02/2000</t>
  </si>
  <si>
    <t>RUIZ Fabian Fabian RUIZ PEÑA FABIÁN</t>
  </si>
  <si>
    <t>03/04/1996</t>
  </si>
  <si>
    <t>GAVI Pablo PAEZ GAVIRA GAVI</t>
  </si>
  <si>
    <t>05/08/2004</t>
  </si>
  <si>
    <t>OLMO Dani Daniel OLMO CARVAJAL OLMO</t>
  </si>
  <si>
    <t>07/05/1998</t>
  </si>
  <si>
    <t>PINO Yeremy Yeremy Jesús PINO SANTOS YEREMY</t>
  </si>
  <si>
    <t>20/10/2002</t>
  </si>
  <si>
    <t>PORRO Pedro Pedro Antonio PORRO SAUCEDA PEDRO PORRO</t>
  </si>
  <si>
    <t>GARCIA Joan Joan GARCIA PONS JOAN GARCIA</t>
  </si>
  <si>
    <t>LAPORTE Aymeric Aymeric LAPORTE FEVRE LAPORTE</t>
  </si>
  <si>
    <t>BAENA Alex Alejandro BAENA RODRÍGUEZ ALEX B.</t>
  </si>
  <si>
    <t>20/07/2001</t>
  </si>
  <si>
    <t>RODRI Rodrigo HERNÁNDEZ CASCANTE RODRIGO</t>
  </si>
  <si>
    <t>WILLIAMS Nico Nicholas WILLIAMS ARTHUER WILLIAMS JR.</t>
  </si>
  <si>
    <t>12/07/2002</t>
  </si>
  <si>
    <t>ZUBIMENDI Martin Martin ZUBIMENDI IBAÑEZ ZUBIMENDI</t>
  </si>
  <si>
    <t>02/02/1999</t>
  </si>
  <si>
    <t>YAMAL Lamine Lamine Yamal NASRAOUI EBANA LAMINE YAMAL</t>
  </si>
  <si>
    <t>13/07/2007</t>
  </si>
  <si>
    <t>PEDRI Pedro GONZÁLEZ LÓPEZ PEDRI</t>
  </si>
  <si>
    <t>25/11/2002</t>
  </si>
  <si>
    <t>OYARZABAL Mikel Mikel OYARZABAL UGARTE OYARZABAL</t>
  </si>
  <si>
    <t>21/04/1997</t>
  </si>
  <si>
    <t>CUBARSI Pau Pau CUBARSI I PAREDES CUBARSÍ</t>
  </si>
  <si>
    <t>22/01/2007</t>
  </si>
  <si>
    <t>SIMON Unai Unai SIMÓN MENDIBIL UNAI SIMÓN</t>
  </si>
  <si>
    <t>11/06/1997</t>
  </si>
  <si>
    <t>CUCURELLA Marc Marc CUCURELLA SASETA CUCURELLA</t>
  </si>
  <si>
    <t>22/07/1998</t>
  </si>
  <si>
    <t>MUNOZ Victor Victor MUÑOZ VILLANUEVA VICTOR M.V.</t>
  </si>
  <si>
    <t>13/07/2003</t>
  </si>
  <si>
    <t>IGLESIAS Borja Borja IGLESIAS QUINTÁS B. IGLESIAS</t>
  </si>
  <si>
    <t>RC Celta Vigo (ESP)</t>
  </si>
  <si>
    <t>SWE</t>
  </si>
  <si>
    <t>WIDELL ZETTERSTROM Jacob Jacob Mikael WIDELL ZETTERSTRÖM ZETTERSTRÖM</t>
  </si>
  <si>
    <t>11/07/1998</t>
  </si>
  <si>
    <t>LAGERBIELKE Gustaf Gustaf Johan LAGERBIELKE LAGERBIELKE</t>
  </si>
  <si>
    <t>LINDELOF Victor Victor Jörgen NILSSON LINDELÖF LINDELÖF</t>
  </si>
  <si>
    <t>17/07/1994</t>
  </si>
  <si>
    <t>HIEN Isak Isak Malcolm Kwaku HIEN HIEN</t>
  </si>
  <si>
    <t>13/01/1999</t>
  </si>
  <si>
    <t>GUDMUNDSSON Gabriel Gabriel Johan GUDMUNDSSON GUDMUNDSSON</t>
  </si>
  <si>
    <t>JOHANSSON Herman Herman Nils JOHANSSON H. JOHANSSON</t>
  </si>
  <si>
    <t>16/10/1997</t>
  </si>
  <si>
    <t>BERGVALL Lucas Lucas Erik Holger BERGVALL BERGVALL</t>
  </si>
  <si>
    <t>02/02/2006</t>
  </si>
  <si>
    <t>SVENSSON Daniel Daniel Jonathan SVENSSON SVENSSON</t>
  </si>
  <si>
    <t>12/02/2002</t>
  </si>
  <si>
    <t>ISAK Alexander Alexander ISAK ISAK</t>
  </si>
  <si>
    <t>21/09/1999</t>
  </si>
  <si>
    <t>NYGREN Benjamin Erik Benjamin NYGREN NYGREN</t>
  </si>
  <si>
    <t>08/07/2001</t>
  </si>
  <si>
    <t>ELANGA Anthony Anthony David Junior ELANGA ELANGA</t>
  </si>
  <si>
    <t>27/04/2002</t>
  </si>
  <si>
    <t>JOHANSSON Viktor Tobias Viktor JOHANSSON V. JOHANSSON</t>
  </si>
  <si>
    <t>14/09/1998</t>
  </si>
  <si>
    <t>SEMA Ken Ken SEMA SEMA</t>
  </si>
  <si>
    <t>30/09/1993</t>
  </si>
  <si>
    <t>EKDAL Hjalmar Hjalmar EKDAL EKDAL</t>
  </si>
  <si>
    <t>21/10/1998</t>
  </si>
  <si>
    <t>STARFELT Carl Carl Anders Theodor STARFELT STARFELT</t>
  </si>
  <si>
    <t>01/06/1995</t>
  </si>
  <si>
    <t>KARLSTROM Jesper Jesper Kewe KARLSTRÖM KARLSTRÖM</t>
  </si>
  <si>
    <t>21/06/1995</t>
  </si>
  <si>
    <t>Udinese (ITA)</t>
  </si>
  <si>
    <t>GYOKERES Viktor Viktor Einar GYÖKERES GYÖKERES</t>
  </si>
  <si>
    <t>04/06/1998</t>
  </si>
  <si>
    <t>AYARI Yasin Yasin AYARI AYARI</t>
  </si>
  <si>
    <t>06/10/2003</t>
  </si>
  <si>
    <t>SVANBERG Mattias Mattias Olof SVANBERG SVANBERG</t>
  </si>
  <si>
    <t>05/01/1999</t>
  </si>
  <si>
    <t>SMITH Eric Eric Anders SMITH SMITH</t>
  </si>
  <si>
    <t>BERNHARDSSON Alexander Alexander Olof BERNHARDSSON BERNHARDSSON</t>
  </si>
  <si>
    <t>08/09/1998</t>
  </si>
  <si>
    <t>Holstein Kiel (GER)</t>
  </si>
  <si>
    <t>ZENELI Besfort Besfort ZENELI ZENELI</t>
  </si>
  <si>
    <t>21/11/2002</t>
  </si>
  <si>
    <t>NORDFELDT Kristoffer Bo Kristoffer NORDFELDT NORDFELDT</t>
  </si>
  <si>
    <t>23/06/1989</t>
  </si>
  <si>
    <t>AIK Stockholm (SWE)</t>
  </si>
  <si>
    <t>STROUD Elliot Elliot Karl STROUD STROUD</t>
  </si>
  <si>
    <t>22/06/2002</t>
  </si>
  <si>
    <t>Mjällby AIF (SWE)</t>
  </si>
  <si>
    <t>NILSSON Gustaf Håkan Gustaf NILSSON NILSSON</t>
  </si>
  <si>
    <t>23/05/1997</t>
  </si>
  <si>
    <t>ALI Taha Taha Abdi ALI ALI</t>
  </si>
  <si>
    <t>01/07/1998</t>
  </si>
  <si>
    <t>Malmö FF (SWE)</t>
  </si>
  <si>
    <t>KOBEL Gregor Gregor KOBEL KOBEL</t>
  </si>
  <si>
    <t>06/12/1997</t>
  </si>
  <si>
    <t>MUHEIM Miro Miro Max Maria MUHEIM MUHEIM</t>
  </si>
  <si>
    <t>24/03/1998</t>
  </si>
  <si>
    <t>WIDMER Silvan Silvan Dominic WIDMER WIDMER</t>
  </si>
  <si>
    <t>05/03/1993</t>
  </si>
  <si>
    <t>ELVEDI Nico Nico ELVEDI ELVEDI</t>
  </si>
  <si>
    <t>AKANJI Manuel Manuel Obafemi AKANJI AKANJI</t>
  </si>
  <si>
    <t>19/07/1995</t>
  </si>
  <si>
    <t>ZAKARIA Denis Denis Lemi ZAKARIA LAKO LADO ZAKARIA</t>
  </si>
  <si>
    <t>20/11/1996</t>
  </si>
  <si>
    <t>EMBOLO Breel Breel Donald EMBOLO EMBOLO</t>
  </si>
  <si>
    <t>14/02/1997</t>
  </si>
  <si>
    <t>FREULER Remo Remo Marco FREULER FREULER</t>
  </si>
  <si>
    <t>15/04/1992</t>
  </si>
  <si>
    <t>MANZAMBI Johan Johan Kula MANZAMBI MANZAMBI</t>
  </si>
  <si>
    <t>14/10/2005</t>
  </si>
  <si>
    <t>XHAKA Granit Granit XHAKA XHAKA</t>
  </si>
  <si>
    <t>27/09/1992</t>
  </si>
  <si>
    <t>NDOYE Dan Dan NDOYE NDOYE</t>
  </si>
  <si>
    <t>25/10/2000</t>
  </si>
  <si>
    <t>MVOGO Yvon Yvon Landry MVOGO NGANOMA MVOGO</t>
  </si>
  <si>
    <t>06/06/1994</t>
  </si>
  <si>
    <t>RODRIGUEZ Ricardo Ricardo Ivan RODRIGUEZ ARAYA RODRIGUEZ</t>
  </si>
  <si>
    <t>25/08/1992</t>
  </si>
  <si>
    <t>JASHARI Ardon Ardon JASHARI JASHARI</t>
  </si>
  <si>
    <t>30/07/2002</t>
  </si>
  <si>
    <t>SOW Djibril Mohameth Djibril Ibrahima SOW SOW</t>
  </si>
  <si>
    <t>FASSNACHT Christian Christian Andreas FASSNACHT FASSNACHT</t>
  </si>
  <si>
    <t>11/11/1993</t>
  </si>
  <si>
    <t>VARGAS Ruben Ruben Estephan VARGAS MARTINEZ VARGAS</t>
  </si>
  <si>
    <t>05/08/1998</t>
  </si>
  <si>
    <t>COEMERT Eray Eray Ervin CÖMERT CÖMERT</t>
  </si>
  <si>
    <t>04/02/1998</t>
  </si>
  <si>
    <t>Valencia CF (ESP)</t>
  </si>
  <si>
    <t>OKAFOR Noah Noah Arinzechukwu OKAFOR OKAFOR</t>
  </si>
  <si>
    <t>AEBISCHER Michel Michel AEBISCHER AEBISCHER</t>
  </si>
  <si>
    <t>06/01/1997</t>
  </si>
  <si>
    <t>Pisa SC (ITA)</t>
  </si>
  <si>
    <t>KELLER Marvin Marvin KELLER KELLER</t>
  </si>
  <si>
    <t>RIEDER Fabian Fabian RIEDER RIEDER</t>
  </si>
  <si>
    <t>16/02/2002</t>
  </si>
  <si>
    <t>AMDOUNI Zeki Mohamed Zeki AMDOUNI AMDOUNI</t>
  </si>
  <si>
    <t>04/12/2000</t>
  </si>
  <si>
    <t>AMENDA Aurele Aurèle Florian AMENDA AMENDA</t>
  </si>
  <si>
    <t>31/07/2003</t>
  </si>
  <si>
    <t>JAQUEZ Luca Luca Antony JAQUEZ JAQUEZ</t>
  </si>
  <si>
    <t>02/06/2003</t>
  </si>
  <si>
    <t>ITTEN Cedric Cedric Jan ITTEN ITTEN</t>
  </si>
  <si>
    <t>27/12/1996</t>
  </si>
  <si>
    <t>Fortuna Düsseldorf (GER)</t>
  </si>
  <si>
    <t>CHAMAKH Mouhib Abdelmouhib CHAMAKH CHAMAKH</t>
  </si>
  <si>
    <t>Club Africain (TUN)</t>
  </si>
  <si>
    <t>ABDI Ali Ali ELABDI ABDI</t>
  </si>
  <si>
    <t>TALBI Montassar Montassar Omar TALBI TALBI</t>
  </si>
  <si>
    <t>REKIK Omar Omar REKIK REKIK</t>
  </si>
  <si>
    <t>20/12/2001</t>
  </si>
  <si>
    <t>AROUS Adam Adam AROUS AROUS</t>
  </si>
  <si>
    <t>17/07/2004</t>
  </si>
  <si>
    <t>Kasımpaşa SK (TUR)</t>
  </si>
  <si>
    <t>BRONN Dylan Dylan Daniel Mahmoud BRONN BRONN</t>
  </si>
  <si>
    <t>19/06/1995</t>
  </si>
  <si>
    <t>Servette FC (SUI)</t>
  </si>
  <si>
    <t>ACHOURI Elias Mohamed Elyes ACHOURI ACHOURI</t>
  </si>
  <si>
    <t>10/02/1999</t>
  </si>
  <si>
    <t>SAAD Elias Elias SAAD SAAD</t>
  </si>
  <si>
    <t>27/12/1999</t>
  </si>
  <si>
    <t>MASTOURI Hazem Hazem MASTOURI MASTOURI</t>
  </si>
  <si>
    <t>18/06/1997</t>
  </si>
  <si>
    <t>FC Dynamo Makhachkala (RUS)</t>
  </si>
  <si>
    <t>MEJBRI Hannibal Hannibal MEJBRI HANNIBAL</t>
  </si>
  <si>
    <t>21/01/2003</t>
  </si>
  <si>
    <t>GHARBI Ismael Ismael Seifallah GHARBI GHARBI</t>
  </si>
  <si>
    <t>10/04/2004</t>
  </si>
  <si>
    <t>BEN OUANES Mortadha Ahmed Mortadha BEN OUANES BEN OUANES</t>
  </si>
  <si>
    <t>KHEDIRA Rani Rani KHEDIRA KHEDIRA</t>
  </si>
  <si>
    <t>27/01/1994</t>
  </si>
  <si>
    <t>1. FC Union Berlin (GER)</t>
  </si>
  <si>
    <t>AYARI Khalil Khalil AYARI AYARI</t>
  </si>
  <si>
    <t>02/02/2005</t>
  </si>
  <si>
    <t>HADJ MAHMOUD Mohamed Mohamed BELHADJ MAHMOUD HADJ MAHMOUD</t>
  </si>
  <si>
    <t>24/04/2000</t>
  </si>
  <si>
    <t>DAHMEN Aymen Aymen DAHMEN DAHMEN</t>
  </si>
  <si>
    <t>28/01/1997</t>
  </si>
  <si>
    <t>CS Sfaxien (TUN)</t>
  </si>
  <si>
    <t>SKHIRI Ellyes Ellyes Joris SKHIRI SKHIRI</t>
  </si>
  <si>
    <t>10/05/1995</t>
  </si>
  <si>
    <t>ELLOUMI Rayan Rayan ELLOUMI ELLOUMI</t>
  </si>
  <si>
    <t>17/09/2007</t>
  </si>
  <si>
    <t>CHAOUAT Firas Firas CHAOUAT CHAOUAT</t>
  </si>
  <si>
    <t>08/05/1996</t>
  </si>
  <si>
    <t>VALERY Yan Yan VALERY VALERY</t>
  </si>
  <si>
    <t>22/02/1999</t>
  </si>
  <si>
    <t>BEN HMIDA Mohamed Amine Mohamed Amine BEN HMIDA BEN HMIDA</t>
  </si>
  <si>
    <t>15/12/1995</t>
  </si>
  <si>
    <t>BEN HESSEN Sabri Sabri BEN HSAN BEN HESSEN</t>
  </si>
  <si>
    <t>13/06/1996</t>
  </si>
  <si>
    <t>Étoile Du Sahel (TUN)</t>
  </si>
  <si>
    <t>NEFFATI Moutaz Moutaz NEFFATI NEFFATI</t>
  </si>
  <si>
    <t>04/09/2004</t>
  </si>
  <si>
    <t>IFK Norrköping FK (SWE)</t>
  </si>
  <si>
    <t>CHIKHAOUI Raed Raed CHIKHAOUI CHIKHAOUI</t>
  </si>
  <si>
    <t>09/06/2004</t>
  </si>
  <si>
    <t>US Monastir (TUN)</t>
  </si>
  <si>
    <t>SLIMANE Anis Anis BEN SLIMANE SLIMANE</t>
  </si>
  <si>
    <t>16/03/2001</t>
  </si>
  <si>
    <t>TOUNEKTI Sebastian Sebastian TOUNEKTI TOUNEKTI</t>
  </si>
  <si>
    <t>GUNOK Mert Fehmi Mert GÜNOK MERT</t>
  </si>
  <si>
    <t>01/03/1989</t>
  </si>
  <si>
    <t>CELIK Zeki Mehmet Zeki ÇELIK ZEKİ ÇELİK</t>
  </si>
  <si>
    <t>17/02/1997</t>
  </si>
  <si>
    <t>DEMIRAL Merih Merih DEMİRAL DEMİRAL</t>
  </si>
  <si>
    <t>05/03/1998</t>
  </si>
  <si>
    <t>SOYUNCU Caglar Çağlar SÖYÜNCÜ ÇAĞLAR</t>
  </si>
  <si>
    <t>23/05/1996</t>
  </si>
  <si>
    <t>OZCAN Salih Salih ÖZCAN ÖZCAN</t>
  </si>
  <si>
    <t>11/01/1998</t>
  </si>
  <si>
    <t>KOKCU Orkun Orkun KÖKÇÜ ORKUN KÖKÇÜ</t>
  </si>
  <si>
    <t>AKTURKOGLU Kerem Muhammed Kerem AKTÜRKOĞLU AKTÜRKOĞLU</t>
  </si>
  <si>
    <t>GULER Arda Arda GÜLER ARDA GÜLER</t>
  </si>
  <si>
    <t>25/02/2005</t>
  </si>
  <si>
    <t>GUL Deniz Deniz Daniel GÜL DENİZ GÜL</t>
  </si>
  <si>
    <t>02/07/2004</t>
  </si>
  <si>
    <t>CALHANOGLU Hakan Hakan ÇALHANOĞLU ÇALHANOĞLU</t>
  </si>
  <si>
    <t>08/02/1994</t>
  </si>
  <si>
    <t>YILDIZ Kenan Kenan YILDIZ YILDIZ</t>
  </si>
  <si>
    <t>04/05/2005</t>
  </si>
  <si>
    <t>BAYINDIR Altay Altay BAYINDIR ALTAY</t>
  </si>
  <si>
    <t>14/04/1998</t>
  </si>
  <si>
    <t>ELMALI Eren Evren Eren ELMALI EREN ELMALI</t>
  </si>
  <si>
    <t>BARDAKCI Abdulkerim Abdülkerİm BARDAKCI ABDÜLKERİM</t>
  </si>
  <si>
    <t>07/09/1994</t>
  </si>
  <si>
    <t>KABAK Ozan Ozan Muhammed KABAK OZAN KABAK</t>
  </si>
  <si>
    <t>YUKSEK Ismail İsmaİl YÜKSEK İSMAİL</t>
  </si>
  <si>
    <t>26/01/1999</t>
  </si>
  <si>
    <t>KAHVECI Irfan Can İrfan KAHVECİ KAHVECİ</t>
  </si>
  <si>
    <t>15/07/1995</t>
  </si>
  <si>
    <t>MULDUR Mert Mert MÜLDÜR MERT MÜLDÜR</t>
  </si>
  <si>
    <t>03/04/1999</t>
  </si>
  <si>
    <t>AKGUN Yunus Yunus AKGÜN YUNUS</t>
  </si>
  <si>
    <t>KADIOGLU Ferdi Ferdi Erenay KADIOĞLU F. KADIOĞLU</t>
  </si>
  <si>
    <t>07/10/1999</t>
  </si>
  <si>
    <t>YILMAZ Baris Alper Barış Alper YILMAZ BARIŞ</t>
  </si>
  <si>
    <t>AYHAN Kaan Kaan AYHAN KAAN</t>
  </si>
  <si>
    <t>10/11/1994</t>
  </si>
  <si>
    <t>CAKIR Ugurcan Uğurcan ÇAKIR UĞURCAN</t>
  </si>
  <si>
    <t>AYDIN Oguz Oğuz AYDIN OĞUZ</t>
  </si>
  <si>
    <t>27/10/2000</t>
  </si>
  <si>
    <t>AKAYDIN Samet Samet AKAYDIN SAMET AKAYDIN</t>
  </si>
  <si>
    <t>13/03/1994</t>
  </si>
  <si>
    <t>UZUN Can Can Yılmaz UZUN CAN UZUN</t>
  </si>
  <si>
    <t>ROCHET Sergio Sergio Ramón ROCHET ALVAREZ S. ROCHET</t>
  </si>
  <si>
    <t>23/03/1993</t>
  </si>
  <si>
    <t>GIMENEZ Jose Maria José María GIMÉNEZ DE VARGAS J.M. GIMÉNEZ</t>
  </si>
  <si>
    <t>20/01/1995</t>
  </si>
  <si>
    <t>CACERES Sebastian Sebastián Enzo CÁCERES RAMOS S. CACERES</t>
  </si>
  <si>
    <t>18/08/1999</t>
  </si>
  <si>
    <t>ARAUJO Ronald Ronald Federico ARAÚJO DA SILVA R. ARAUJO</t>
  </si>
  <si>
    <t>07/03/1999</t>
  </si>
  <si>
    <t>UGARTE Manuel Manuel UGARTE RIBEIRO M. UGARTE</t>
  </si>
  <si>
    <t>11/04/2001</t>
  </si>
  <si>
    <t>BENTANCUR Rodrigo Rodrigo BENTANCUR COLMÁN R. BENTANCUR</t>
  </si>
  <si>
    <t>25/06/1997</t>
  </si>
  <si>
    <t>DE LA CRUZ Nicolas Diego Nicolás DE LA CRUZ ARCOSA N. DE LA CRUZ</t>
  </si>
  <si>
    <t>01/06/1997</t>
  </si>
  <si>
    <t>VALVERDE Federico Federico Santiago VALVERDE DIPETTA F. VALVERDE</t>
  </si>
  <si>
    <t>NUNEZ Darwin Darwin Gabriel NUÑEZ RIBEIRO D. NUÑEZ</t>
  </si>
  <si>
    <t>24/06/1999</t>
  </si>
  <si>
    <t>DE ARRASCAETA Giorgian Giorgian Daniel DE ARRASCAETA BENEDETTI G. DE ARRASCAETA</t>
  </si>
  <si>
    <t>01/06/1994</t>
  </si>
  <si>
    <t>PELLISTRI Facundo Facundo PELLISTRI REBOLLO F. PELLISTRI</t>
  </si>
  <si>
    <t>MELE Santiago Santiago Andres MELE CASTAÑERO S. MELE</t>
  </si>
  <si>
    <t>06/09/1997</t>
  </si>
  <si>
    <t>CF Monterrey (MEX)</t>
  </si>
  <si>
    <t>VARELA Guillermo Guillermo VARELA OLIVERA G. VARELA</t>
  </si>
  <si>
    <t>24/03/1993</t>
  </si>
  <si>
    <t>CANOBBIO Agustin Agustin CANOBBIO A. CANOBBIO</t>
  </si>
  <si>
    <t>01/10/1998</t>
  </si>
  <si>
    <t>Fluminense FC (BRA)</t>
  </si>
  <si>
    <t>MARTINEZ Emiliano Emiliano MARTÍNEZ TORANZA E. MARTINEZ</t>
  </si>
  <si>
    <t>OLIVERA Mathias Mathías OLIVERA MIRAMONTES M. OLIVERA</t>
  </si>
  <si>
    <t>VINA Matias Matías Nicolas VIÑA SUSPERREGUY M. VIÑA</t>
  </si>
  <si>
    <t>09/11/1997</t>
  </si>
  <si>
    <t>RODRIGUEZ Brian Paul Brian RODRÍGUEZ BRAVO B. RODRIGUEZ</t>
  </si>
  <si>
    <t>AGUIRRE Rodrigo Rodrigo Sebastian AGUIRRE SOTO R. AGUIRRE</t>
  </si>
  <si>
    <t>Tigres UANL (MEX)</t>
  </si>
  <si>
    <t>ARAUJO Maxi Maximiliano Javier ARAÚJO VILCHES M. ARAUJO</t>
  </si>
  <si>
    <t>15/02/2000</t>
  </si>
  <si>
    <t>VINAS Federico Federico Sebastian VIÑAS BARBOZA F. VIÑAS</t>
  </si>
  <si>
    <t>PIQUEREZ Joaquin Joaquin PIQUEREZ MOREIRA J. PIQUEREZ</t>
  </si>
  <si>
    <t>24/08/1998</t>
  </si>
  <si>
    <t>MUSLERA Fernando Nestor Fernando MUSLERA MICOL F. MUSLERA</t>
  </si>
  <si>
    <t>16/06/1986</t>
  </si>
  <si>
    <t>Estudiantes LP (ARG)</t>
  </si>
  <si>
    <t>BUENO Santiago Santiago Ignacio BUENO SCIUTTO S. BUENO</t>
  </si>
  <si>
    <t>09/11/1998</t>
  </si>
  <si>
    <t>SANABRIA Juan Manuel Juan Manuel SANABRIA MAGOLÉ J.M. SANABRIA</t>
  </si>
  <si>
    <t>29/03/2000</t>
  </si>
  <si>
    <t>Real Salt Lake (USA)</t>
  </si>
  <si>
    <t>ZALAZAR Rodrigo Radrigo ZALAZAR MARTINEZ R. ZALAZAR</t>
  </si>
  <si>
    <t>12/08/1999</t>
  </si>
  <si>
    <t>TURNER Matt Matthew Charles TURNER TURNER</t>
  </si>
  <si>
    <t>New England Revolution (USA)</t>
  </si>
  <si>
    <t>DEST Sergino Sergiño Gianni DEST DEST</t>
  </si>
  <si>
    <t>RICHARDS Chris Christopher Jeffrey RICHARDS RICHARDS</t>
  </si>
  <si>
    <t>28/03/2000</t>
  </si>
  <si>
    <t>ADAMS Tyler Tyler Shaan ADAMS ADAMS</t>
  </si>
  <si>
    <t>14/02/1999</t>
  </si>
  <si>
    <t>ROBINSON Antonee Antonee ROBINSON A. ROBINSON</t>
  </si>
  <si>
    <t>TRUSTY Auston Auston Levi-Jesaiah TRUSTY TRUSTY</t>
  </si>
  <si>
    <t>12/08/1998</t>
  </si>
  <si>
    <t>REYNA Giovanni Giovanni Alejandro REYNA REYNA</t>
  </si>
  <si>
    <t>13/11/2002</t>
  </si>
  <si>
    <t>McKENNIE Weston Weston James Earl MC KENNIE MCKENNIE</t>
  </si>
  <si>
    <t>PEPI Ricardo Ricardo Daniel PEPI PEPI</t>
  </si>
  <si>
    <t>09/01/2003</t>
  </si>
  <si>
    <t>PULISIC Christian Christian Mate PULISIC PULISIC</t>
  </si>
  <si>
    <t>18/09/1998</t>
  </si>
  <si>
    <t>AARONSON Brenden Brenden Russell AARONSON AARONSON</t>
  </si>
  <si>
    <t>22/10/2000</t>
  </si>
  <si>
    <t>ROBINSON Miles Miles Gordon ROBINSON M. ROBINSON</t>
  </si>
  <si>
    <t>14/03/1997</t>
  </si>
  <si>
    <t>FC Cincinnatti (USA)</t>
  </si>
  <si>
    <t>REAM Tim Timothy Michael REAM REAM</t>
  </si>
  <si>
    <t>05/10/1987</t>
  </si>
  <si>
    <t>Charlotte FC (USA)</t>
  </si>
  <si>
    <t>BERHALTER Sebastian Sebastian Matthew BERHALTER BERHALTER</t>
  </si>
  <si>
    <t>10/05/2001</t>
  </si>
  <si>
    <t>ROLDAN Cristian Cristian ROLDAN ROLDAN</t>
  </si>
  <si>
    <t>03/06/1995</t>
  </si>
  <si>
    <t>Seattle Sounders FC (USA)</t>
  </si>
  <si>
    <t>FREEMAN Alex Alexander Michael FREEMAN FREEMAN</t>
  </si>
  <si>
    <t>09/08/2004</t>
  </si>
  <si>
    <t>TILLMAN Malik Malik Leon TILLMAN TILLMAN</t>
  </si>
  <si>
    <t>28/05/2002</t>
  </si>
  <si>
    <t>ARFSTEN Max Maximilian Michael ARFSTEN ARFSTEN</t>
  </si>
  <si>
    <t>WRIGHT Haji Haji Amir WRIGHT WRIGHT</t>
  </si>
  <si>
    <t>27/03/1998</t>
  </si>
  <si>
    <t>BALOGUN Folarin Folarin Jolaoluwa BALOGUN BALOGUN</t>
  </si>
  <si>
    <t>WEAH Timothy Timothy Tarpeh WEAH WEAH</t>
  </si>
  <si>
    <t>22/02/2000</t>
  </si>
  <si>
    <t>McKENZIE Mark Mark Alexander MCKENZIE MCKENZIE</t>
  </si>
  <si>
    <t>Toulouse FC (FRA)</t>
  </si>
  <si>
    <t>SCALLY Joe Joseph Michael SCALLY SCALLY</t>
  </si>
  <si>
    <t>31/12/2002</t>
  </si>
  <si>
    <t>FREESE Matt Matthew Andrew Geary FREESE FREESE</t>
  </si>
  <si>
    <t>02/09/1998</t>
  </si>
  <si>
    <t>BRADY Chris Christopher Keith BRADY BRADY</t>
  </si>
  <si>
    <t>03/03/2004</t>
  </si>
  <si>
    <t>ZENDEJAS Alex Alejandro ZENDEJAS SAAVEDRA ZENDEJAS</t>
  </si>
  <si>
    <t>07/02/1998</t>
  </si>
  <si>
    <t>YUSUPOV Utkir Utkir YUSUPOV YUSUPOV</t>
  </si>
  <si>
    <t>04/01/1991</t>
  </si>
  <si>
    <t>PFC Navbahor Namangan (UZB)</t>
  </si>
  <si>
    <t>KHUSANOV Abdukodir Abdukodir KHUSANOV KHUSANOV</t>
  </si>
  <si>
    <t>29/02/2004</t>
  </si>
  <si>
    <t>ALIJONOV Khojiakbar Khojiakbar ALIJONOV ALIJONOV</t>
  </si>
  <si>
    <t>19/04/1997</t>
  </si>
  <si>
    <t>SAYFIEV Farrukh Farrukh SAYFIEV SAYFIEV</t>
  </si>
  <si>
    <t>17/01/1991</t>
  </si>
  <si>
    <t>FK Neftchi Farg'ona (UZB)</t>
  </si>
  <si>
    <t>ASHURMATOV Rustam Rustamjon ASHURMATOV ASHURMATOV</t>
  </si>
  <si>
    <t>07/07/1996</t>
  </si>
  <si>
    <t>MOZGOVOY Akmal Akmal MOZGOVOY MOZGOVOY</t>
  </si>
  <si>
    <t>02/04/1999</t>
  </si>
  <si>
    <t>SHUKUROV Otabek Otabek SHUKUROV SHUKUROV</t>
  </si>
  <si>
    <t>Baniyas Club (UAE)</t>
  </si>
  <si>
    <t>ISKANDEROV Jamshid Jamshid ISKANDEROV ISKANDEROV</t>
  </si>
  <si>
    <t>16/10/1993</t>
  </si>
  <si>
    <t>XAMROBEKOV Odiljon Odiljon XAMROBEKOV XAMROBEKOV</t>
  </si>
  <si>
    <t>13/02/1996</t>
  </si>
  <si>
    <t>JIYANOV Ruslanbek Ruslanbek JIYANOV JIYANOV</t>
  </si>
  <si>
    <t>05/06/2001</t>
  </si>
  <si>
    <t>URUNOV Oston Oston URUNOV URUNOV</t>
  </si>
  <si>
    <t>19/12/2000</t>
  </si>
  <si>
    <t>NEMATOV Abduvohid Abduvakhid NEMATOV NEMATOV</t>
  </si>
  <si>
    <t>20/03/2001</t>
  </si>
  <si>
    <t>Nasaf Qarshi FC (UZB)</t>
  </si>
  <si>
    <t>NASRULLAEV Sherzod Sherzod NASRULLAEV NASRULLAEV</t>
  </si>
  <si>
    <t>23/07/1998</t>
  </si>
  <si>
    <t>SHOMURODOV Eldor Eldor SHOMURODOV SHOMURODOV</t>
  </si>
  <si>
    <t>29/06/1995</t>
  </si>
  <si>
    <t>ESHMURODOV Umar Umarbek ESHMURODOV ESHMURODOV</t>
  </si>
  <si>
    <t>30/11/1992</t>
  </si>
  <si>
    <t>ERGASHEV Botirali Botirali ERGASHEV ERGASHEV</t>
  </si>
  <si>
    <t>23/06/1995</t>
  </si>
  <si>
    <t>KHAMDAMOV Dostonbek Dostonbek KHAMDAMOV KHAMDAMOV</t>
  </si>
  <si>
    <t>24/07/1996</t>
  </si>
  <si>
    <t>ABDULLAEV Abdulla Abdulla ABDULLAEV ABDULLAEV</t>
  </si>
  <si>
    <t>01/09/1997</t>
  </si>
  <si>
    <t>GANIEV Azizjon Azizjon GANIEV GANIEV</t>
  </si>
  <si>
    <t>22/02/1998</t>
  </si>
  <si>
    <t>AMONOV Azizbek Azizbek AMONOV AMONOV</t>
  </si>
  <si>
    <t>30/10/1997</t>
  </si>
  <si>
    <t>FK Dinamo Samarkand (UZB)</t>
  </si>
  <si>
    <t>SERGEEV Igor Igor SERGEEV SERGEEV</t>
  </si>
  <si>
    <t>30/04/1993</t>
  </si>
  <si>
    <t>FAYZULLAEV Abbosbek Abbosbek FAYZULLAEV FAYZULLAEV</t>
  </si>
  <si>
    <t>03/10/2003</t>
  </si>
  <si>
    <t>ESANOV Sherzod Sherzod ESANOV ESANOV</t>
  </si>
  <si>
    <t>01/02/2003</t>
  </si>
  <si>
    <t>FK Buxoro (UZB)</t>
  </si>
  <si>
    <t>KARIMOV Behruzjon Behruzjon KARIMOV KARIMOV</t>
  </si>
  <si>
    <t>07/08/2007</t>
  </si>
  <si>
    <t>Surkhon FK (UZB)</t>
  </si>
  <si>
    <t>ULMASALIYEV Avazbek Avazbek ULMASALIYEV ULMASALIYEV</t>
  </si>
  <si>
    <t>27/03/2000</t>
  </si>
  <si>
    <t>OKMK FK (UZB)</t>
  </si>
  <si>
    <t>UROZOV Jakhongir Jakhongir UROZOV UROZOV</t>
  </si>
  <si>
    <t>18/01/2004</t>
  </si>
  <si>
    <t>MatchTeam</t>
  </si>
  <si>
    <t>SquadPlayers</t>
  </si>
  <si>
    <t>SquadAvgCaps</t>
  </si>
  <si>
    <t>SquadAvgIntlGoals</t>
  </si>
  <si>
    <t>SquadAvgHeight_cm</t>
  </si>
  <si>
    <t>OverseasClubPlayers</t>
  </si>
  <si>
    <t>OverseasClubShare</t>
  </si>
  <si>
    <t>Notes</t>
  </si>
  <si>
    <t>Regression 2.2 model-ready dataset with 208 team-match observations and 8 explanatory variables.</t>
  </si>
  <si>
    <t>Four retained shared predictors: RankPointsDiff, HostAdvantage, FormGoalsForDiff, FormGoalsAgstDiff.</t>
  </si>
  <si>
    <t>Four replacement predictors calculated from the uploaded FIFA World Cup 2026 SquadLists-English.pdf: average squad caps, average international goals, average height, and overseas-club share.</t>
  </si>
  <si>
    <t>Team-level metrics are means/proportions over all listed squad players and are differenced as Team minus Opponent.</t>
  </si>
  <si>
    <t>OverseasClubShare is the proportion of listed players whose club country code differs from the team's FIFA squad-list code. This is a proxy based on codes in the supplied PDF.</t>
  </si>
  <si>
    <t>Squad player data was parsed from the uploaded PDF. Review source rows for OCR/text extraction errors before final submission, especially accented names and club labels.</t>
  </si>
  <si>
    <t>The uploaded FIFA PDF reports squad lists for 11 June–19 July 2026, Version 1. Confirm its suitability and cutoff against assessment instructions.</t>
  </si>
  <si>
    <t>Original workbook sheets are retained. Model_Ready_208 contains exactly 8 explanatory variables plus match identifiers and GoalScored.</t>
  </si>
  <si>
    <t>All four new squad metrics are constant per team across the tournament; they are not match-specific lineup or starting XI measures.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</si>
</sst>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0" xfId="0" applyAlignment="1">
      <alignment vertical="top" wrapText="1"/>
    </xf>
    <xf numFmtId="0" fontId="2" fillId="3" borderId="0" xfId="0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9"/>
  <sheetViews>
    <sheetView tabSelected="1" zoomScale="82" zoomScaleNormal="82" workbookViewId="0">
      <pane ySplit="1" topLeftCell="A172" activePane="bottomLeft" state="frozen"/>
      <selection pane="bottomLeft" activeCell="S177" sqref="S177"/>
    </sheetView>
  </sheetViews>
  <sheetFormatPr defaultRowHeight="14.4" x14ac:dyDescent="0.3"/>
  <cols>
    <col min="1" max="2" width="12" customWidth="1"/>
    <col min="3" max="4" width="24" customWidth="1"/>
    <col min="5" max="6" width="12" customWidth="1"/>
    <col min="7" max="7" width="31" customWidth="1"/>
    <col min="8" max="8" width="30" customWidth="1"/>
    <col min="9" max="9" width="33" customWidth="1"/>
    <col min="10" max="10" width="34" customWidth="1"/>
    <col min="11" max="11" width="31" customWidth="1"/>
    <col min="12" max="13" width="29" customWidth="1"/>
    <col min="14" max="14" width="33" customWidth="1"/>
    <col min="15" max="15" width="32.88671875" customWidth="1"/>
    <col min="16" max="16" width="36" customWidth="1"/>
    <col min="17" max="17" width="34.21875" customWidth="1"/>
    <col min="18" max="18" width="36.33203125" customWidth="1"/>
    <col min="19" max="19" width="8.88671875" customWidth="1"/>
  </cols>
  <sheetData>
    <row r="1" spans="1:18" ht="31.9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3" t="s">
        <v>121</v>
      </c>
      <c r="P1" s="4" t="s">
        <v>122</v>
      </c>
      <c r="Q1" s="3" t="s">
        <v>123</v>
      </c>
      <c r="R1" s="3" t="s">
        <v>124</v>
      </c>
    </row>
    <row r="2" spans="1:18" x14ac:dyDescent="0.3">
      <c r="A2">
        <v>400021443</v>
      </c>
      <c r="B2" t="s">
        <v>14</v>
      </c>
      <c r="C2" t="s">
        <v>15</v>
      </c>
      <c r="D2" t="s">
        <v>16</v>
      </c>
      <c r="E2" t="s">
        <v>17</v>
      </c>
      <c r="F2">
        <v>2</v>
      </c>
      <c r="G2">
        <v>259.10000000000002</v>
      </c>
      <c r="H2">
        <v>1</v>
      </c>
      <c r="I2">
        <v>0</v>
      </c>
      <c r="J2">
        <v>0</v>
      </c>
      <c r="K2">
        <v>0</v>
      </c>
      <c r="L2">
        <v>1.0920000000000001</v>
      </c>
      <c r="M2">
        <v>0</v>
      </c>
      <c r="N2">
        <v>0</v>
      </c>
      <c r="O2">
        <f>_xlfn.XLOOKUP(C2,Squad_Team_Summary!$A:$A,Squad_Team_Summary!$D:$D)-_xlfn.XLOOKUP(D2,Squad_Team_Summary!$A:$A,Squad_Team_Summary!$D:$D)</f>
        <v>27.278499999999998</v>
      </c>
      <c r="P2">
        <f>_xlfn.XLOOKUP(C2,Squad_Team_Summary!$A:$A,Squad_Team_Summary!$E:$E)-_xlfn.XLOOKUP(D2,Squad_Team_Summary!$A:$A,Squad_Team_Summary!$E:$E)</f>
        <v>2.2445999999999997</v>
      </c>
      <c r="Q2">
        <f>_xlfn.XLOOKUP(C2,Squad_Team_Summary!$A:$A,Squad_Team_Summary!$F:$F)-_xlfn.XLOOKUP(D2,Squad_Team_Summary!$A:$A,Squad_Team_Summary!$F:$F)</f>
        <v>0.58000000000001251</v>
      </c>
      <c r="R2">
        <f>_xlfn.XLOOKUP(C2,Squad_Team_Summary!$A:$A,Squad_Team_Summary!$H:$H)-_xlfn.XLOOKUP(D2,Squad_Team_Summary!$A:$A,Squad_Team_Summary!$H:$H)</f>
        <v>0.25849999999999995</v>
      </c>
    </row>
    <row r="3" spans="1:18" x14ac:dyDescent="0.3">
      <c r="A3">
        <v>400021443</v>
      </c>
      <c r="B3" t="s">
        <v>14</v>
      </c>
      <c r="C3" t="s">
        <v>16</v>
      </c>
      <c r="D3" t="s">
        <v>15</v>
      </c>
      <c r="E3" t="s">
        <v>18</v>
      </c>
      <c r="F3">
        <v>0</v>
      </c>
      <c r="G3">
        <v>-259.10000000000002</v>
      </c>
      <c r="H3">
        <v>-1</v>
      </c>
      <c r="I3">
        <v>0</v>
      </c>
      <c r="J3">
        <v>0</v>
      </c>
      <c r="K3">
        <v>0</v>
      </c>
      <c r="L3">
        <v>-1.0920000000000001</v>
      </c>
      <c r="M3">
        <v>0</v>
      </c>
      <c r="N3">
        <v>0</v>
      </c>
      <c r="O3">
        <f>_xlfn.XLOOKUP(C3,Squad_Team_Summary!$A:$A,Squad_Team_Summary!$D:$D)-_xlfn.XLOOKUP(D3,Squad_Team_Summary!$A:$A,Squad_Team_Summary!$D:$D)</f>
        <v>-27.278499999999998</v>
      </c>
      <c r="P3">
        <f>_xlfn.XLOOKUP(C3,Squad_Team_Summary!$A:$A,Squad_Team_Summary!$E:$E)-_xlfn.XLOOKUP(D3,Squad_Team_Summary!$A:$A,Squad_Team_Summary!$E:$E)</f>
        <v>-2.2445999999999997</v>
      </c>
      <c r="Q3">
        <f>_xlfn.XLOOKUP(C3,Squad_Team_Summary!$A:$A,Squad_Team_Summary!$F:$F)-_xlfn.XLOOKUP(D3,Squad_Team_Summary!$A:$A,Squad_Team_Summary!$F:$F)</f>
        <v>-0.58000000000001251</v>
      </c>
      <c r="R3">
        <f>_xlfn.XLOOKUP(C3,Squad_Team_Summary!$A:$A,Squad_Team_Summary!$H:$H)-_xlfn.XLOOKUP(D3,Squad_Team_Summary!$A:$A,Squad_Team_Summary!$H:$H)</f>
        <v>-0.25849999999999995</v>
      </c>
    </row>
    <row r="4" spans="1:18" x14ac:dyDescent="0.3">
      <c r="A4">
        <v>400021441</v>
      </c>
      <c r="B4" t="s">
        <v>19</v>
      </c>
      <c r="C4" t="s">
        <v>20</v>
      </c>
      <c r="D4" t="s">
        <v>21</v>
      </c>
      <c r="E4" t="s">
        <v>17</v>
      </c>
      <c r="F4">
        <v>2</v>
      </c>
      <c r="G4">
        <v>85.89</v>
      </c>
      <c r="H4">
        <v>0</v>
      </c>
      <c r="I4">
        <v>0</v>
      </c>
      <c r="J4">
        <v>0</v>
      </c>
      <c r="K4">
        <v>0</v>
      </c>
      <c r="L4">
        <v>0.44500000000000001</v>
      </c>
      <c r="M4">
        <v>0</v>
      </c>
      <c r="N4">
        <v>-1</v>
      </c>
      <c r="O4">
        <f>_xlfn.XLOOKUP(C4,Squad_Team_Summary!$A:$A,Squad_Team_Summary!$D:$D)-_xlfn.XLOOKUP(D4,Squad_Team_Summary!$A:$A,Squad_Team_Summary!$D:$D)</f>
        <v>9.076900000000002</v>
      </c>
      <c r="P4">
        <f>_xlfn.XLOOKUP(C4,Squad_Team_Summary!$A:$A,Squad_Team_Summary!$E:$E)-_xlfn.XLOOKUP(D4,Squad_Team_Summary!$A:$A,Squad_Team_Summary!$E:$E)</f>
        <v>1.6922999999999999</v>
      </c>
      <c r="Q4">
        <f>_xlfn.XLOOKUP(C4,Squad_Team_Summary!$A:$A,Squad_Team_Summary!$F:$F)-_xlfn.XLOOKUP(D4,Squad_Team_Summary!$A:$A,Squad_Team_Summary!$F:$F)</f>
        <v>-3.8076999999999828</v>
      </c>
      <c r="R4">
        <f>_xlfn.XLOOKUP(C4,Squad_Team_Summary!$A:$A,Squad_Team_Summary!$H:$H)-_xlfn.XLOOKUP(D4,Squad_Team_Summary!$A:$A,Squad_Team_Summary!$H:$H)</f>
        <v>0.3846</v>
      </c>
    </row>
    <row r="5" spans="1:18" x14ac:dyDescent="0.3">
      <c r="A5">
        <v>400021441</v>
      </c>
      <c r="B5" t="s">
        <v>19</v>
      </c>
      <c r="C5" t="s">
        <v>21</v>
      </c>
      <c r="D5" t="s">
        <v>20</v>
      </c>
      <c r="E5" t="s">
        <v>18</v>
      </c>
      <c r="F5">
        <v>1</v>
      </c>
      <c r="G5">
        <v>-85.89</v>
      </c>
      <c r="H5">
        <v>0</v>
      </c>
      <c r="I5">
        <v>0</v>
      </c>
      <c r="J5">
        <v>0</v>
      </c>
      <c r="K5">
        <v>0</v>
      </c>
      <c r="L5">
        <v>-0.44500000000000001</v>
      </c>
      <c r="M5">
        <v>0</v>
      </c>
      <c r="N5">
        <v>1</v>
      </c>
      <c r="O5">
        <f>_xlfn.XLOOKUP(C5,Squad_Team_Summary!$A:$A,Squad_Team_Summary!$D:$D)-_xlfn.XLOOKUP(D5,Squad_Team_Summary!$A:$A,Squad_Team_Summary!$D:$D)</f>
        <v>-9.076900000000002</v>
      </c>
      <c r="P5">
        <f>_xlfn.XLOOKUP(C5,Squad_Team_Summary!$A:$A,Squad_Team_Summary!$E:$E)-_xlfn.XLOOKUP(D5,Squad_Team_Summary!$A:$A,Squad_Team_Summary!$E:$E)</f>
        <v>-1.6922999999999999</v>
      </c>
      <c r="Q5">
        <f>_xlfn.XLOOKUP(C5,Squad_Team_Summary!$A:$A,Squad_Team_Summary!$F:$F)-_xlfn.XLOOKUP(D5,Squad_Team_Summary!$A:$A,Squad_Team_Summary!$F:$F)</f>
        <v>3.8076999999999828</v>
      </c>
      <c r="R5">
        <f>_xlfn.XLOOKUP(C5,Squad_Team_Summary!$A:$A,Squad_Team_Summary!$H:$H)-_xlfn.XLOOKUP(D5,Squad_Team_Summary!$A:$A,Squad_Team_Summary!$H:$H)</f>
        <v>-0.3846</v>
      </c>
    </row>
    <row r="6" spans="1:18" x14ac:dyDescent="0.3">
      <c r="A6">
        <v>400021449</v>
      </c>
      <c r="B6" t="s">
        <v>19</v>
      </c>
      <c r="C6" t="s">
        <v>22</v>
      </c>
      <c r="D6" t="s">
        <v>23</v>
      </c>
      <c r="E6" t="s">
        <v>17</v>
      </c>
      <c r="F6">
        <v>1</v>
      </c>
      <c r="G6">
        <v>172.26</v>
      </c>
      <c r="H6">
        <v>1</v>
      </c>
      <c r="I6">
        <v>0</v>
      </c>
      <c r="J6">
        <v>0</v>
      </c>
      <c r="K6">
        <v>0</v>
      </c>
      <c r="L6">
        <v>0.51600000000000001</v>
      </c>
      <c r="M6">
        <v>0</v>
      </c>
      <c r="N6">
        <v>-1</v>
      </c>
      <c r="O6">
        <f>_xlfn.XLOOKUP(C6,Squad_Team_Summary!$A:$A,Squad_Team_Summary!$D:$D)-_xlfn.XLOOKUP(D6,Squad_Team_Summary!$A:$A,Squad_Team_Summary!$D:$D)</f>
        <v>14.461499999999997</v>
      </c>
      <c r="P6">
        <f>_xlfn.XLOOKUP(C6,Squad_Team_Summary!$A:$A,Squad_Team_Summary!$E:$E)-_xlfn.XLOOKUP(D6,Squad_Team_Summary!$A:$A,Squad_Team_Summary!$E:$E)</f>
        <v>1.6922999999999999</v>
      </c>
      <c r="Q6">
        <f>_xlfn.XLOOKUP(C6,Squad_Team_Summary!$A:$A,Squad_Team_Summary!$F:$F)-_xlfn.XLOOKUP(D6,Squad_Team_Summary!$A:$A,Squad_Team_Summary!$F:$F)</f>
        <v>-4.7691999999999837</v>
      </c>
      <c r="R6">
        <f>_xlfn.XLOOKUP(C6,Squad_Team_Summary!$A:$A,Squad_Team_Summary!$H:$H)-_xlfn.XLOOKUP(D6,Squad_Team_Summary!$A:$A,Squad_Team_Summary!$H:$H)</f>
        <v>-3.839999999999999E-2</v>
      </c>
    </row>
    <row r="7" spans="1:18" x14ac:dyDescent="0.3">
      <c r="A7">
        <v>400021449</v>
      </c>
      <c r="B7" t="s">
        <v>19</v>
      </c>
      <c r="C7" t="s">
        <v>23</v>
      </c>
      <c r="D7" t="s">
        <v>22</v>
      </c>
      <c r="E7" t="s">
        <v>18</v>
      </c>
      <c r="F7">
        <v>1</v>
      </c>
      <c r="G7">
        <v>-172.26</v>
      </c>
      <c r="H7">
        <v>-1</v>
      </c>
      <c r="I7">
        <v>0</v>
      </c>
      <c r="J7">
        <v>0</v>
      </c>
      <c r="K7">
        <v>0</v>
      </c>
      <c r="L7">
        <v>-0.51600000000000001</v>
      </c>
      <c r="M7">
        <v>0</v>
      </c>
      <c r="N7">
        <v>1</v>
      </c>
      <c r="O7">
        <f>_xlfn.XLOOKUP(C7,Squad_Team_Summary!$A:$A,Squad_Team_Summary!$D:$D)-_xlfn.XLOOKUP(D7,Squad_Team_Summary!$A:$A,Squad_Team_Summary!$D:$D)</f>
        <v>-14.461499999999997</v>
      </c>
      <c r="P7">
        <f>_xlfn.XLOOKUP(C7,Squad_Team_Summary!$A:$A,Squad_Team_Summary!$E:$E)-_xlfn.XLOOKUP(D7,Squad_Team_Summary!$A:$A,Squad_Team_Summary!$E:$E)</f>
        <v>-1.6922999999999999</v>
      </c>
      <c r="Q7">
        <f>_xlfn.XLOOKUP(C7,Squad_Team_Summary!$A:$A,Squad_Team_Summary!$F:$F)-_xlfn.XLOOKUP(D7,Squad_Team_Summary!$A:$A,Squad_Team_Summary!$F:$F)</f>
        <v>4.7691999999999837</v>
      </c>
      <c r="R7">
        <f>_xlfn.XLOOKUP(C7,Squad_Team_Summary!$A:$A,Squad_Team_Summary!$H:$H)-_xlfn.XLOOKUP(D7,Squad_Team_Summary!$A:$A,Squad_Team_Summary!$H:$H)</f>
        <v>3.839999999999999E-2</v>
      </c>
    </row>
    <row r="8" spans="1:18" x14ac:dyDescent="0.3">
      <c r="A8">
        <v>400021458</v>
      </c>
      <c r="B8" t="s">
        <v>24</v>
      </c>
      <c r="C8" t="s">
        <v>25</v>
      </c>
      <c r="D8" t="s">
        <v>26</v>
      </c>
      <c r="E8" t="s">
        <v>17</v>
      </c>
      <c r="F8">
        <v>4</v>
      </c>
      <c r="G8">
        <v>165.88</v>
      </c>
      <c r="H8">
        <v>1</v>
      </c>
      <c r="I8">
        <v>0</v>
      </c>
      <c r="J8">
        <v>0</v>
      </c>
      <c r="K8">
        <v>0</v>
      </c>
      <c r="L8">
        <v>-2.0979999999999999</v>
      </c>
      <c r="M8">
        <v>0</v>
      </c>
      <c r="N8">
        <v>-1</v>
      </c>
      <c r="O8">
        <f>_xlfn.XLOOKUP(C8,Squad_Team_Summary!$A:$A,Squad_Team_Summary!$D:$D)-_xlfn.XLOOKUP(D8,Squad_Team_Summary!$A:$A,Squad_Team_Summary!$D:$D)</f>
        <v>10.384600000000002</v>
      </c>
      <c r="P8">
        <f>_xlfn.XLOOKUP(C8,Squad_Team_Summary!$A:$A,Squad_Team_Summary!$E:$E)-_xlfn.XLOOKUP(D8,Squad_Team_Summary!$A:$A,Squad_Team_Summary!$E:$E)</f>
        <v>3.0000000000000004</v>
      </c>
      <c r="Q8">
        <f>_xlfn.XLOOKUP(C8,Squad_Team_Summary!$A:$A,Squad_Team_Summary!$F:$F)-_xlfn.XLOOKUP(D8,Squad_Team_Summary!$A:$A,Squad_Team_Summary!$F:$F)</f>
        <v>1.7692000000000121</v>
      </c>
      <c r="R8">
        <f>_xlfn.XLOOKUP(C8,Squad_Team_Summary!$A:$A,Squad_Team_Summary!$H:$H)-_xlfn.XLOOKUP(D8,Squad_Team_Summary!$A:$A,Squad_Team_Summary!$H:$H)</f>
        <v>-0.15380000000000005</v>
      </c>
    </row>
    <row r="9" spans="1:18" x14ac:dyDescent="0.3">
      <c r="A9">
        <v>400021458</v>
      </c>
      <c r="B9" t="s">
        <v>24</v>
      </c>
      <c r="C9" t="s">
        <v>26</v>
      </c>
      <c r="D9" t="s">
        <v>25</v>
      </c>
      <c r="E9" t="s">
        <v>18</v>
      </c>
      <c r="F9">
        <v>1</v>
      </c>
      <c r="G9">
        <v>-165.88</v>
      </c>
      <c r="H9">
        <v>-1</v>
      </c>
      <c r="I9">
        <v>0</v>
      </c>
      <c r="J9">
        <v>0</v>
      </c>
      <c r="K9">
        <v>0</v>
      </c>
      <c r="L9">
        <v>2.0979999999999999</v>
      </c>
      <c r="M9">
        <v>0</v>
      </c>
      <c r="N9">
        <v>1</v>
      </c>
      <c r="O9">
        <f>_xlfn.XLOOKUP(C9,Squad_Team_Summary!$A:$A,Squad_Team_Summary!$D:$D)-_xlfn.XLOOKUP(D9,Squad_Team_Summary!$A:$A,Squad_Team_Summary!$D:$D)</f>
        <v>-10.384600000000002</v>
      </c>
      <c r="P9">
        <f>_xlfn.XLOOKUP(C9,Squad_Team_Summary!$A:$A,Squad_Team_Summary!$E:$E)-_xlfn.XLOOKUP(D9,Squad_Team_Summary!$A:$A,Squad_Team_Summary!$E:$E)</f>
        <v>-3.0000000000000004</v>
      </c>
      <c r="Q9">
        <f>_xlfn.XLOOKUP(C9,Squad_Team_Summary!$A:$A,Squad_Team_Summary!$F:$F)-_xlfn.XLOOKUP(D9,Squad_Team_Summary!$A:$A,Squad_Team_Summary!$F:$F)</f>
        <v>-1.7692000000000121</v>
      </c>
      <c r="R9">
        <f>_xlfn.XLOOKUP(C9,Squad_Team_Summary!$A:$A,Squad_Team_Summary!$H:$H)-_xlfn.XLOOKUP(D9,Squad_Team_Summary!$A:$A,Squad_Team_Summary!$H:$H)</f>
        <v>0.15380000000000005</v>
      </c>
    </row>
    <row r="10" spans="1:18" x14ac:dyDescent="0.3">
      <c r="A10">
        <v>400021447</v>
      </c>
      <c r="B10" t="s">
        <v>24</v>
      </c>
      <c r="C10" t="s">
        <v>27</v>
      </c>
      <c r="D10" t="s">
        <v>28</v>
      </c>
      <c r="E10" t="s">
        <v>17</v>
      </c>
      <c r="F10">
        <v>1</v>
      </c>
      <c r="G10">
        <v>-199.75</v>
      </c>
      <c r="H10">
        <v>0</v>
      </c>
      <c r="I10">
        <v>0</v>
      </c>
      <c r="J10">
        <v>0</v>
      </c>
      <c r="K10">
        <v>0</v>
      </c>
      <c r="L10">
        <v>1.2010000000000001</v>
      </c>
      <c r="M10">
        <v>0</v>
      </c>
      <c r="N10">
        <v>-1</v>
      </c>
      <c r="O10">
        <f>_xlfn.XLOOKUP(C10,Squad_Team_Summary!$A:$A,Squad_Team_Summary!$D:$D)-_xlfn.XLOOKUP(D10,Squad_Team_Summary!$A:$A,Squad_Team_Summary!$D:$D)</f>
        <v>14.923100000000005</v>
      </c>
      <c r="P10">
        <f>_xlfn.XLOOKUP(C10,Squad_Team_Summary!$A:$A,Squad_Team_Summary!$E:$E)-_xlfn.XLOOKUP(D10,Squad_Team_Summary!$A:$A,Squad_Team_Summary!$E:$E)</f>
        <v>3.1923999999999992</v>
      </c>
      <c r="Q10">
        <f>_xlfn.XLOOKUP(C10,Squad_Team_Summary!$A:$A,Squad_Team_Summary!$F:$F)-_xlfn.XLOOKUP(D10,Squad_Team_Summary!$A:$A,Squad_Team_Summary!$F:$F)</f>
        <v>-5.8461999999999819</v>
      </c>
      <c r="R10">
        <f>_xlfn.XLOOKUP(C10,Squad_Team_Summary!$A:$A,Squad_Team_Summary!$H:$H)-_xlfn.XLOOKUP(D10,Squad_Team_Summary!$A:$A,Squad_Team_Summary!$H:$H)</f>
        <v>-0.88460000000000005</v>
      </c>
    </row>
    <row r="11" spans="1:18" x14ac:dyDescent="0.3">
      <c r="A11">
        <v>400021447</v>
      </c>
      <c r="B11" t="s">
        <v>24</v>
      </c>
      <c r="C11" t="s">
        <v>28</v>
      </c>
      <c r="D11" t="s">
        <v>27</v>
      </c>
      <c r="E11" t="s">
        <v>18</v>
      </c>
      <c r="F11">
        <v>1</v>
      </c>
      <c r="G11">
        <v>199.75</v>
      </c>
      <c r="H11">
        <v>0</v>
      </c>
      <c r="I11">
        <v>0</v>
      </c>
      <c r="J11">
        <v>0</v>
      </c>
      <c r="K11">
        <v>0</v>
      </c>
      <c r="L11">
        <v>-1.2010000000000001</v>
      </c>
      <c r="M11">
        <v>0</v>
      </c>
      <c r="N11">
        <v>1</v>
      </c>
      <c r="O11">
        <f>_xlfn.XLOOKUP(C11,Squad_Team_Summary!$A:$A,Squad_Team_Summary!$D:$D)-_xlfn.XLOOKUP(D11,Squad_Team_Summary!$A:$A,Squad_Team_Summary!$D:$D)</f>
        <v>-14.923100000000005</v>
      </c>
      <c r="P11">
        <f>_xlfn.XLOOKUP(C11,Squad_Team_Summary!$A:$A,Squad_Team_Summary!$E:$E)-_xlfn.XLOOKUP(D11,Squad_Team_Summary!$A:$A,Squad_Team_Summary!$E:$E)</f>
        <v>-3.1923999999999992</v>
      </c>
      <c r="Q11">
        <f>_xlfn.XLOOKUP(C11,Squad_Team_Summary!$A:$A,Squad_Team_Summary!$F:$F)-_xlfn.XLOOKUP(D11,Squad_Team_Summary!$A:$A,Squad_Team_Summary!$F:$F)</f>
        <v>5.8461999999999819</v>
      </c>
      <c r="R11">
        <f>_xlfn.XLOOKUP(C11,Squad_Team_Summary!$A:$A,Squad_Team_Summary!$H:$H)-_xlfn.XLOOKUP(D11,Squad_Team_Summary!$A:$A,Squad_Team_Summary!$H:$H)</f>
        <v>0.88460000000000005</v>
      </c>
    </row>
    <row r="12" spans="1:18" x14ac:dyDescent="0.3">
      <c r="A12">
        <v>400021456</v>
      </c>
      <c r="B12" t="s">
        <v>24</v>
      </c>
      <c r="C12" t="s">
        <v>29</v>
      </c>
      <c r="D12" t="s">
        <v>30</v>
      </c>
      <c r="E12" t="s">
        <v>17</v>
      </c>
      <c r="F12">
        <v>1</v>
      </c>
      <c r="G12">
        <v>10.76</v>
      </c>
      <c r="H12">
        <v>0</v>
      </c>
      <c r="I12">
        <v>0</v>
      </c>
      <c r="J12">
        <v>0</v>
      </c>
      <c r="K12">
        <v>0</v>
      </c>
      <c r="L12">
        <v>2.7639999999999998</v>
      </c>
      <c r="M12">
        <v>0</v>
      </c>
      <c r="N12">
        <v>1</v>
      </c>
      <c r="O12">
        <f>_xlfn.XLOOKUP(C12,Squad_Team_Summary!$A:$A,Squad_Team_Summary!$D:$D)-_xlfn.XLOOKUP(D12,Squad_Team_Summary!$A:$A,Squad_Team_Summary!$D:$D)</f>
        <v>7.3846000000000025</v>
      </c>
      <c r="P12">
        <f>_xlfn.XLOOKUP(C12,Squad_Team_Summary!$A:$A,Squad_Team_Summary!$E:$E)-_xlfn.XLOOKUP(D12,Squad_Team_Summary!$A:$A,Squad_Team_Summary!$E:$E)</f>
        <v>2.0385</v>
      </c>
      <c r="Q12">
        <f>_xlfn.XLOOKUP(C12,Squad_Team_Summary!$A:$A,Squad_Team_Summary!$F:$F)-_xlfn.XLOOKUP(D12,Squad_Team_Summary!$A:$A,Squad_Team_Summary!$F:$F)</f>
        <v>0.7307999999999879</v>
      </c>
      <c r="R12">
        <f>_xlfn.XLOOKUP(C12,Squad_Team_Summary!$A:$A,Squad_Team_Summary!$H:$H)-_xlfn.XLOOKUP(D12,Squad_Team_Summary!$A:$A,Squad_Team_Summary!$H:$H)</f>
        <v>-0.19230000000000003</v>
      </c>
    </row>
    <row r="13" spans="1:18" x14ac:dyDescent="0.3">
      <c r="A13">
        <v>400021456</v>
      </c>
      <c r="B13" t="s">
        <v>24</v>
      </c>
      <c r="C13" t="s">
        <v>30</v>
      </c>
      <c r="D13" t="s">
        <v>29</v>
      </c>
      <c r="E13" t="s">
        <v>18</v>
      </c>
      <c r="F13">
        <v>1</v>
      </c>
      <c r="G13">
        <v>-10.76</v>
      </c>
      <c r="H13">
        <v>0</v>
      </c>
      <c r="I13">
        <v>0</v>
      </c>
      <c r="J13">
        <v>0</v>
      </c>
      <c r="K13">
        <v>0</v>
      </c>
      <c r="L13">
        <v>-2.7639999999999998</v>
      </c>
      <c r="M13">
        <v>0</v>
      </c>
      <c r="N13">
        <v>-1</v>
      </c>
      <c r="O13">
        <f>_xlfn.XLOOKUP(C13,Squad_Team_Summary!$A:$A,Squad_Team_Summary!$D:$D)-_xlfn.XLOOKUP(D13,Squad_Team_Summary!$A:$A,Squad_Team_Summary!$D:$D)</f>
        <v>-7.3846000000000025</v>
      </c>
      <c r="P13">
        <f>_xlfn.XLOOKUP(C13,Squad_Team_Summary!$A:$A,Squad_Team_Summary!$E:$E)-_xlfn.XLOOKUP(D13,Squad_Team_Summary!$A:$A,Squad_Team_Summary!$E:$E)</f>
        <v>-2.0385</v>
      </c>
      <c r="Q13">
        <f>_xlfn.XLOOKUP(C13,Squad_Team_Summary!$A:$A,Squad_Team_Summary!$F:$F)-_xlfn.XLOOKUP(D13,Squad_Team_Summary!$A:$A,Squad_Team_Summary!$F:$F)</f>
        <v>-0.7307999999999879</v>
      </c>
      <c r="R13">
        <f>_xlfn.XLOOKUP(C13,Squad_Team_Summary!$A:$A,Squad_Team_Summary!$H:$H)-_xlfn.XLOOKUP(D13,Squad_Team_Summary!$A:$A,Squad_Team_Summary!$H:$H)</f>
        <v>0.19230000000000003</v>
      </c>
    </row>
    <row r="14" spans="1:18" x14ac:dyDescent="0.3">
      <c r="A14">
        <v>400021453</v>
      </c>
      <c r="B14" t="s">
        <v>31</v>
      </c>
      <c r="C14" t="s">
        <v>32</v>
      </c>
      <c r="D14" t="s">
        <v>33</v>
      </c>
      <c r="E14" t="s">
        <v>17</v>
      </c>
      <c r="F14">
        <v>0</v>
      </c>
      <c r="G14">
        <v>-210.24</v>
      </c>
      <c r="H14">
        <v>0</v>
      </c>
      <c r="I14">
        <v>0</v>
      </c>
      <c r="J14">
        <v>0</v>
      </c>
      <c r="K14">
        <v>0</v>
      </c>
      <c r="L14">
        <v>-1.694</v>
      </c>
      <c r="M14">
        <v>0</v>
      </c>
      <c r="N14">
        <v>-1</v>
      </c>
      <c r="O14">
        <f>_xlfn.XLOOKUP(C14,Squad_Team_Summary!$A:$A,Squad_Team_Summary!$D:$D)-_xlfn.XLOOKUP(D14,Squad_Team_Summary!$A:$A,Squad_Team_Summary!$D:$D)</f>
        <v>-13.307699999999997</v>
      </c>
      <c r="P14">
        <f>_xlfn.XLOOKUP(C14,Squad_Team_Summary!$A:$A,Squad_Team_Summary!$E:$E)-_xlfn.XLOOKUP(D14,Squad_Team_Summary!$A:$A,Squad_Team_Summary!$E:$E)</f>
        <v>0.65379999999999994</v>
      </c>
      <c r="Q14">
        <f>_xlfn.XLOOKUP(C14,Squad_Team_Summary!$A:$A,Squad_Team_Summary!$F:$F)-_xlfn.XLOOKUP(D14,Squad_Team_Summary!$A:$A,Squad_Team_Summary!$F:$F)</f>
        <v>-2.884600000000006</v>
      </c>
      <c r="R14">
        <f>_xlfn.XLOOKUP(C14,Squad_Team_Summary!$A:$A,Squad_Team_Summary!$H:$H)-_xlfn.XLOOKUP(D14,Squad_Team_Summary!$A:$A,Squad_Team_Summary!$H:$H)</f>
        <v>0.26919999999999999</v>
      </c>
    </row>
    <row r="15" spans="1:18" x14ac:dyDescent="0.3">
      <c r="A15">
        <v>400021453</v>
      </c>
      <c r="B15" t="s">
        <v>31</v>
      </c>
      <c r="C15" t="s">
        <v>33</v>
      </c>
      <c r="D15" t="s">
        <v>32</v>
      </c>
      <c r="E15" t="s">
        <v>18</v>
      </c>
      <c r="F15">
        <v>1</v>
      </c>
      <c r="G15">
        <v>210.24</v>
      </c>
      <c r="H15">
        <v>0</v>
      </c>
      <c r="I15">
        <v>0</v>
      </c>
      <c r="J15">
        <v>0</v>
      </c>
      <c r="K15">
        <v>0</v>
      </c>
      <c r="L15">
        <v>1.694</v>
      </c>
      <c r="M15">
        <v>0</v>
      </c>
      <c r="N15">
        <v>1</v>
      </c>
      <c r="O15">
        <f>_xlfn.XLOOKUP(C15,Squad_Team_Summary!$A:$A,Squad_Team_Summary!$D:$D)-_xlfn.XLOOKUP(D15,Squad_Team_Summary!$A:$A,Squad_Team_Summary!$D:$D)</f>
        <v>13.307699999999997</v>
      </c>
      <c r="P15">
        <f>_xlfn.XLOOKUP(C15,Squad_Team_Summary!$A:$A,Squad_Team_Summary!$E:$E)-_xlfn.XLOOKUP(D15,Squad_Team_Summary!$A:$A,Squad_Team_Summary!$E:$E)</f>
        <v>-0.65379999999999994</v>
      </c>
      <c r="Q15">
        <f>_xlfn.XLOOKUP(C15,Squad_Team_Summary!$A:$A,Squad_Team_Summary!$F:$F)-_xlfn.XLOOKUP(D15,Squad_Team_Summary!$A:$A,Squad_Team_Summary!$F:$F)</f>
        <v>2.884600000000006</v>
      </c>
      <c r="R15">
        <f>_xlfn.XLOOKUP(C15,Squad_Team_Summary!$A:$A,Squad_Team_Summary!$H:$H)-_xlfn.XLOOKUP(D15,Squad_Team_Summary!$A:$A,Squad_Team_Summary!$H:$H)</f>
        <v>-0.26919999999999999</v>
      </c>
    </row>
    <row r="16" spans="1:18" x14ac:dyDescent="0.3">
      <c r="A16">
        <v>400021463</v>
      </c>
      <c r="B16" t="s">
        <v>31</v>
      </c>
      <c r="C16" t="s">
        <v>34</v>
      </c>
      <c r="D16" t="s">
        <v>35</v>
      </c>
      <c r="E16" t="s">
        <v>17</v>
      </c>
      <c r="F16">
        <v>2</v>
      </c>
      <c r="G16">
        <v>-26.39</v>
      </c>
      <c r="H16">
        <v>0</v>
      </c>
      <c r="I16">
        <v>0</v>
      </c>
      <c r="J16">
        <v>0</v>
      </c>
      <c r="K16">
        <v>0</v>
      </c>
      <c r="L16">
        <v>-0.313</v>
      </c>
      <c r="M16">
        <v>0</v>
      </c>
      <c r="N16">
        <v>-1</v>
      </c>
      <c r="O16">
        <f>_xlfn.XLOOKUP(C16,Squad_Team_Summary!$A:$A,Squad_Team_Summary!$D:$D)-_xlfn.XLOOKUP(D16,Squad_Team_Summary!$A:$A,Squad_Team_Summary!$D:$D)</f>
        <v>-8.5768999999999984</v>
      </c>
      <c r="P16">
        <f>_xlfn.XLOOKUP(C16,Squad_Team_Summary!$A:$A,Squad_Team_Summary!$E:$E)-_xlfn.XLOOKUP(D16,Squad_Team_Summary!$A:$A,Squad_Team_Summary!$E:$E)</f>
        <v>-0.96160000000000023</v>
      </c>
      <c r="Q16">
        <f>_xlfn.XLOOKUP(C16,Squad_Team_Summary!$A:$A,Squad_Team_Summary!$F:$F)-_xlfn.XLOOKUP(D16,Squad_Team_Summary!$A:$A,Squad_Team_Summary!$F:$F)</f>
        <v>-0.19230000000001723</v>
      </c>
      <c r="R16">
        <f>_xlfn.XLOOKUP(C16,Squad_Team_Summary!$A:$A,Squad_Team_Summary!$H:$H)-_xlfn.XLOOKUP(D16,Squad_Team_Summary!$A:$A,Squad_Team_Summary!$H:$H)</f>
        <v>0.3846</v>
      </c>
    </row>
    <row r="17" spans="1:18" x14ac:dyDescent="0.3">
      <c r="A17">
        <v>400021463</v>
      </c>
      <c r="B17" t="s">
        <v>31</v>
      </c>
      <c r="C17" t="s">
        <v>35</v>
      </c>
      <c r="D17" t="s">
        <v>34</v>
      </c>
      <c r="E17" t="s">
        <v>18</v>
      </c>
      <c r="F17">
        <v>0</v>
      </c>
      <c r="G17">
        <v>26.39</v>
      </c>
      <c r="H17">
        <v>0</v>
      </c>
      <c r="I17">
        <v>0</v>
      </c>
      <c r="J17">
        <v>0</v>
      </c>
      <c r="K17">
        <v>0</v>
      </c>
      <c r="L17">
        <v>0.313</v>
      </c>
      <c r="M17">
        <v>0</v>
      </c>
      <c r="N17">
        <v>1</v>
      </c>
      <c r="O17">
        <f>_xlfn.XLOOKUP(C17,Squad_Team_Summary!$A:$A,Squad_Team_Summary!$D:$D)-_xlfn.XLOOKUP(D17,Squad_Team_Summary!$A:$A,Squad_Team_Summary!$D:$D)</f>
        <v>8.5768999999999984</v>
      </c>
      <c r="P17">
        <f>_xlfn.XLOOKUP(C17,Squad_Team_Summary!$A:$A,Squad_Team_Summary!$E:$E)-_xlfn.XLOOKUP(D17,Squad_Team_Summary!$A:$A,Squad_Team_Summary!$E:$E)</f>
        <v>0.96160000000000023</v>
      </c>
      <c r="Q17">
        <f>_xlfn.XLOOKUP(C17,Squad_Team_Summary!$A:$A,Squad_Team_Summary!$F:$F)-_xlfn.XLOOKUP(D17,Squad_Team_Summary!$A:$A,Squad_Team_Summary!$F:$F)</f>
        <v>0.19230000000001723</v>
      </c>
      <c r="R17">
        <f>_xlfn.XLOOKUP(C17,Squad_Team_Summary!$A:$A,Squad_Team_Summary!$H:$H)-_xlfn.XLOOKUP(D17,Squad_Team_Summary!$A:$A,Squad_Team_Summary!$H:$H)</f>
        <v>-0.3846</v>
      </c>
    </row>
    <row r="18" spans="1:18" x14ac:dyDescent="0.3">
      <c r="A18">
        <v>400021464</v>
      </c>
      <c r="B18" t="s">
        <v>31</v>
      </c>
      <c r="C18" t="s">
        <v>36</v>
      </c>
      <c r="D18" t="s">
        <v>37</v>
      </c>
      <c r="E18" t="s">
        <v>17</v>
      </c>
      <c r="F18">
        <v>7</v>
      </c>
      <c r="G18">
        <v>441</v>
      </c>
      <c r="H18">
        <v>0</v>
      </c>
      <c r="I18">
        <v>0</v>
      </c>
      <c r="J18">
        <v>0</v>
      </c>
      <c r="K18">
        <v>0</v>
      </c>
      <c r="L18">
        <v>2.5999999999999999E-2</v>
      </c>
      <c r="M18">
        <v>0</v>
      </c>
      <c r="N18">
        <v>1</v>
      </c>
      <c r="O18">
        <f>_xlfn.XLOOKUP(C18,Squad_Team_Summary!$A:$A,Squad_Team_Summary!$D:$D)-_xlfn.XLOOKUP(D18,Squad_Team_Summary!$A:$A,Squad_Team_Summary!$D:$D)</f>
        <v>9.3077000000000005</v>
      </c>
      <c r="P18">
        <f>_xlfn.XLOOKUP(C18,Squad_Team_Summary!$A:$A,Squad_Team_Summary!$E:$E)-_xlfn.XLOOKUP(D18,Squad_Team_Summary!$A:$A,Squad_Team_Summary!$E:$E)</f>
        <v>1.6537999999999999</v>
      </c>
      <c r="Q18">
        <f>_xlfn.XLOOKUP(C18,Squad_Team_Summary!$A:$A,Squad_Team_Summary!$F:$F)-_xlfn.XLOOKUP(D18,Squad_Team_Summary!$A:$A,Squad_Team_Summary!$F:$F)</f>
        <v>4.2691999999999837</v>
      </c>
      <c r="R18">
        <f>_xlfn.XLOOKUP(C18,Squad_Team_Summary!$A:$A,Squad_Team_Summary!$H:$H)-_xlfn.XLOOKUP(D18,Squad_Team_Summary!$A:$A,Squad_Team_Summary!$H:$H)</f>
        <v>-0.73080000000000001</v>
      </c>
    </row>
    <row r="19" spans="1:18" x14ac:dyDescent="0.3">
      <c r="A19">
        <v>400021464</v>
      </c>
      <c r="B19" t="s">
        <v>31</v>
      </c>
      <c r="C19" t="s">
        <v>37</v>
      </c>
      <c r="D19" t="s">
        <v>36</v>
      </c>
      <c r="E19" t="s">
        <v>18</v>
      </c>
      <c r="F19">
        <v>1</v>
      </c>
      <c r="G19">
        <v>-441</v>
      </c>
      <c r="H19">
        <v>0</v>
      </c>
      <c r="I19">
        <v>0</v>
      </c>
      <c r="J19">
        <v>0</v>
      </c>
      <c r="K19">
        <v>0</v>
      </c>
      <c r="L19">
        <v>-2.5999999999999999E-2</v>
      </c>
      <c r="M19">
        <v>0</v>
      </c>
      <c r="N19">
        <v>-1</v>
      </c>
      <c r="O19">
        <f>_xlfn.XLOOKUP(C19,Squad_Team_Summary!$A:$A,Squad_Team_Summary!$D:$D)-_xlfn.XLOOKUP(D19,Squad_Team_Summary!$A:$A,Squad_Team_Summary!$D:$D)</f>
        <v>-9.3077000000000005</v>
      </c>
      <c r="P19">
        <f>_xlfn.XLOOKUP(C19,Squad_Team_Summary!$A:$A,Squad_Team_Summary!$E:$E)-_xlfn.XLOOKUP(D19,Squad_Team_Summary!$A:$A,Squad_Team_Summary!$E:$E)</f>
        <v>-1.6537999999999999</v>
      </c>
      <c r="Q19">
        <f>_xlfn.XLOOKUP(C19,Squad_Team_Summary!$A:$A,Squad_Team_Summary!$F:$F)-_xlfn.XLOOKUP(D19,Squad_Team_Summary!$A:$A,Squad_Team_Summary!$F:$F)</f>
        <v>-4.2691999999999837</v>
      </c>
      <c r="R19">
        <f>_xlfn.XLOOKUP(C19,Squad_Team_Summary!$A:$A,Squad_Team_Summary!$H:$H)-_xlfn.XLOOKUP(D19,Squad_Team_Summary!$A:$A,Squad_Team_Summary!$H:$H)</f>
        <v>0.73080000000000001</v>
      </c>
    </row>
    <row r="20" spans="1:18" x14ac:dyDescent="0.3">
      <c r="A20">
        <v>400021470</v>
      </c>
      <c r="B20" t="s">
        <v>31</v>
      </c>
      <c r="C20" t="s">
        <v>38</v>
      </c>
      <c r="D20" t="s">
        <v>39</v>
      </c>
      <c r="E20" t="s">
        <v>17</v>
      </c>
      <c r="F20">
        <v>2</v>
      </c>
      <c r="G20">
        <v>91.99</v>
      </c>
      <c r="H20">
        <v>0</v>
      </c>
      <c r="I20">
        <v>0</v>
      </c>
      <c r="J20">
        <v>0</v>
      </c>
      <c r="K20">
        <v>0</v>
      </c>
      <c r="L20">
        <v>0.27900000000000003</v>
      </c>
      <c r="M20">
        <v>0</v>
      </c>
      <c r="N20">
        <v>1</v>
      </c>
      <c r="O20">
        <f>_xlfn.XLOOKUP(C20,Squad_Team_Summary!$A:$A,Squad_Team_Summary!$D:$D)-_xlfn.XLOOKUP(D20,Squad_Team_Summary!$A:$A,Squad_Team_Summary!$D:$D)</f>
        <v>2.1154000000000011</v>
      </c>
      <c r="P20">
        <f>_xlfn.XLOOKUP(C20,Squad_Team_Summary!$A:$A,Squad_Team_Summary!$E:$E)-_xlfn.XLOOKUP(D20,Squad_Team_Summary!$A:$A,Squad_Team_Summary!$E:$E)</f>
        <v>1.6153999999999993</v>
      </c>
      <c r="Q20">
        <f>_xlfn.XLOOKUP(C20,Squad_Team_Summary!$A:$A,Squad_Team_Summary!$F:$F)-_xlfn.XLOOKUP(D20,Squad_Team_Summary!$A:$A,Squad_Team_Summary!$F:$F)</f>
        <v>3.5383999999999958</v>
      </c>
      <c r="R20">
        <f>_xlfn.XLOOKUP(C20,Squad_Team_Summary!$A:$A,Squad_Team_Summary!$H:$H)-_xlfn.XLOOKUP(D20,Squad_Team_Summary!$A:$A,Squad_Team_Summary!$H:$H)</f>
        <v>3.8499999999999979E-2</v>
      </c>
    </row>
    <row r="21" spans="1:18" x14ac:dyDescent="0.3">
      <c r="A21">
        <v>400021470</v>
      </c>
      <c r="B21" t="s">
        <v>31</v>
      </c>
      <c r="C21" t="s">
        <v>39</v>
      </c>
      <c r="D21" t="s">
        <v>38</v>
      </c>
      <c r="E21" t="s">
        <v>18</v>
      </c>
      <c r="F21">
        <v>2</v>
      </c>
      <c r="G21">
        <v>-91.99</v>
      </c>
      <c r="H21">
        <v>0</v>
      </c>
      <c r="I21">
        <v>0</v>
      </c>
      <c r="J21">
        <v>0</v>
      </c>
      <c r="K21">
        <v>0</v>
      </c>
      <c r="L21">
        <v>-0.27900000000000003</v>
      </c>
      <c r="M21">
        <v>0</v>
      </c>
      <c r="N21">
        <v>-1</v>
      </c>
      <c r="O21">
        <f>_xlfn.XLOOKUP(C21,Squad_Team_Summary!$A:$A,Squad_Team_Summary!$D:$D)-_xlfn.XLOOKUP(D21,Squad_Team_Summary!$A:$A,Squad_Team_Summary!$D:$D)</f>
        <v>-2.1154000000000011</v>
      </c>
      <c r="P21">
        <f>_xlfn.XLOOKUP(C21,Squad_Team_Summary!$A:$A,Squad_Team_Summary!$E:$E)-_xlfn.XLOOKUP(D21,Squad_Team_Summary!$A:$A,Squad_Team_Summary!$E:$E)</f>
        <v>-1.6153999999999993</v>
      </c>
      <c r="Q21">
        <f>_xlfn.XLOOKUP(C21,Squad_Team_Summary!$A:$A,Squad_Team_Summary!$F:$F)-_xlfn.XLOOKUP(D21,Squad_Team_Summary!$A:$A,Squad_Team_Summary!$F:$F)</f>
        <v>-3.5383999999999958</v>
      </c>
      <c r="R21">
        <f>_xlfn.XLOOKUP(C21,Squad_Team_Summary!$A:$A,Squad_Team_Summary!$H:$H)-_xlfn.XLOOKUP(D21,Squad_Team_Summary!$A:$A,Squad_Team_Summary!$H:$H)</f>
        <v>-3.8499999999999979E-2</v>
      </c>
    </row>
    <row r="22" spans="1:18" x14ac:dyDescent="0.3">
      <c r="A22">
        <v>400021467</v>
      </c>
      <c r="B22" t="s">
        <v>31</v>
      </c>
      <c r="C22" t="s">
        <v>40</v>
      </c>
      <c r="D22" t="s">
        <v>41</v>
      </c>
      <c r="E22" t="s">
        <v>17</v>
      </c>
      <c r="F22">
        <v>1</v>
      </c>
      <c r="G22">
        <v>-57.65</v>
      </c>
      <c r="H22">
        <v>0</v>
      </c>
      <c r="I22">
        <v>0</v>
      </c>
      <c r="J22">
        <v>0</v>
      </c>
      <c r="K22">
        <v>0</v>
      </c>
      <c r="L22">
        <v>-0.22900000000000001</v>
      </c>
      <c r="M22">
        <v>0</v>
      </c>
      <c r="N22">
        <v>-1</v>
      </c>
      <c r="O22">
        <f>_xlfn.XLOOKUP(C22,Squad_Team_Summary!$A:$A,Squad_Team_Summary!$D:$D)-_xlfn.XLOOKUP(D22,Squad_Team_Summary!$A:$A,Squad_Team_Summary!$D:$D)</f>
        <v>-2.3845999999999989</v>
      </c>
      <c r="P22">
        <f>_xlfn.XLOOKUP(C22,Squad_Team_Summary!$A:$A,Squad_Team_Summary!$E:$E)-_xlfn.XLOOKUP(D22,Squad_Team_Summary!$A:$A,Squad_Team_Summary!$E:$E)</f>
        <v>-0.34609999999999985</v>
      </c>
      <c r="Q22">
        <f>_xlfn.XLOOKUP(C22,Squad_Team_Summary!$A:$A,Squad_Team_Summary!$F:$F)-_xlfn.XLOOKUP(D22,Squad_Team_Summary!$A:$A,Squad_Team_Summary!$F:$F)</f>
        <v>2.384600000000006</v>
      </c>
      <c r="R22">
        <f>_xlfn.XLOOKUP(C22,Squad_Team_Summary!$A:$A,Squad_Team_Summary!$H:$H)-_xlfn.XLOOKUP(D22,Squad_Team_Summary!$A:$A,Squad_Team_Summary!$H:$H)</f>
        <v>7.6899999999999968E-2</v>
      </c>
    </row>
    <row r="23" spans="1:18" x14ac:dyDescent="0.3">
      <c r="A23">
        <v>400021467</v>
      </c>
      <c r="B23" t="s">
        <v>31</v>
      </c>
      <c r="C23" t="s">
        <v>41</v>
      </c>
      <c r="D23" t="s">
        <v>40</v>
      </c>
      <c r="E23" t="s">
        <v>18</v>
      </c>
      <c r="F23">
        <v>0</v>
      </c>
      <c r="G23">
        <v>57.65</v>
      </c>
      <c r="H23">
        <v>0</v>
      </c>
      <c r="I23">
        <v>0</v>
      </c>
      <c r="J23">
        <v>0</v>
      </c>
      <c r="K23">
        <v>0</v>
      </c>
      <c r="L23">
        <v>0.22900000000000001</v>
      </c>
      <c r="M23">
        <v>0</v>
      </c>
      <c r="N23">
        <v>1</v>
      </c>
      <c r="O23">
        <f>_xlfn.XLOOKUP(C23,Squad_Team_Summary!$A:$A,Squad_Team_Summary!$D:$D)-_xlfn.XLOOKUP(D23,Squad_Team_Summary!$A:$A,Squad_Team_Summary!$D:$D)</f>
        <v>2.3845999999999989</v>
      </c>
      <c r="P23">
        <f>_xlfn.XLOOKUP(C23,Squad_Team_Summary!$A:$A,Squad_Team_Summary!$E:$E)-_xlfn.XLOOKUP(D23,Squad_Team_Summary!$A:$A,Squad_Team_Summary!$E:$E)</f>
        <v>0.34609999999999985</v>
      </c>
      <c r="Q23">
        <f>_xlfn.XLOOKUP(C23,Squad_Team_Summary!$A:$A,Squad_Team_Summary!$F:$F)-_xlfn.XLOOKUP(D23,Squad_Team_Summary!$A:$A,Squad_Team_Summary!$F:$F)</f>
        <v>-2.384600000000006</v>
      </c>
      <c r="R23">
        <f>_xlfn.XLOOKUP(C23,Squad_Team_Summary!$A:$A,Squad_Team_Summary!$H:$H)-_xlfn.XLOOKUP(D23,Squad_Team_Summary!$A:$A,Squad_Team_Summary!$H:$H)</f>
        <v>-7.6899999999999968E-2</v>
      </c>
    </row>
    <row r="24" spans="1:18" x14ac:dyDescent="0.3">
      <c r="A24">
        <v>400021474</v>
      </c>
      <c r="B24" t="s">
        <v>42</v>
      </c>
      <c r="C24" t="s">
        <v>43</v>
      </c>
      <c r="D24" t="s">
        <v>44</v>
      </c>
      <c r="E24" t="s">
        <v>17</v>
      </c>
      <c r="F24">
        <v>5</v>
      </c>
      <c r="G24">
        <v>33.380000000000003</v>
      </c>
      <c r="H24">
        <v>0</v>
      </c>
      <c r="I24">
        <v>0</v>
      </c>
      <c r="J24">
        <v>0</v>
      </c>
      <c r="K24">
        <v>0</v>
      </c>
      <c r="L24">
        <v>0.91200000000000003</v>
      </c>
      <c r="M24">
        <v>0</v>
      </c>
      <c r="N24">
        <v>1</v>
      </c>
      <c r="O24">
        <f>_xlfn.XLOOKUP(C24,Squad_Team_Summary!$A:$A,Squad_Team_Summary!$D:$D)-_xlfn.XLOOKUP(D24,Squad_Team_Summary!$A:$A,Squad_Team_Summary!$D:$D)</f>
        <v>-1.8845999999999989</v>
      </c>
      <c r="P24">
        <f>_xlfn.XLOOKUP(C24,Squad_Team_Summary!$A:$A,Squad_Team_Summary!$E:$E)-_xlfn.XLOOKUP(D24,Squad_Team_Summary!$A:$A,Squad_Team_Summary!$E:$E)</f>
        <v>1.0384000000000002</v>
      </c>
      <c r="Q24">
        <f>_xlfn.XLOOKUP(C24,Squad_Team_Summary!$A:$A,Squad_Team_Summary!$F:$F)-_xlfn.XLOOKUP(D24,Squad_Team_Summary!$A:$A,Squad_Team_Summary!$F:$F)</f>
        <v>1.615399999999994</v>
      </c>
      <c r="R24">
        <f>_xlfn.XLOOKUP(C24,Squad_Team_Summary!$A:$A,Squad_Team_Summary!$H:$H)-_xlfn.XLOOKUP(D24,Squad_Team_Summary!$A:$A,Squad_Team_Summary!$H:$H)</f>
        <v>0.11540000000000006</v>
      </c>
    </row>
    <row r="25" spans="1:18" x14ac:dyDescent="0.3">
      <c r="A25">
        <v>400021474</v>
      </c>
      <c r="B25" t="s">
        <v>42</v>
      </c>
      <c r="C25" t="s">
        <v>44</v>
      </c>
      <c r="D25" t="s">
        <v>43</v>
      </c>
      <c r="E25" t="s">
        <v>18</v>
      </c>
      <c r="F25">
        <v>1</v>
      </c>
      <c r="G25">
        <v>-33.380000000000003</v>
      </c>
      <c r="H25">
        <v>0</v>
      </c>
      <c r="I25">
        <v>0</v>
      </c>
      <c r="J25">
        <v>0</v>
      </c>
      <c r="K25">
        <v>0</v>
      </c>
      <c r="L25">
        <v>-0.91200000000000003</v>
      </c>
      <c r="M25">
        <v>0</v>
      </c>
      <c r="N25">
        <v>-1</v>
      </c>
      <c r="O25">
        <f>_xlfn.XLOOKUP(C25,Squad_Team_Summary!$A:$A,Squad_Team_Summary!$D:$D)-_xlfn.XLOOKUP(D25,Squad_Team_Summary!$A:$A,Squad_Team_Summary!$D:$D)</f>
        <v>1.8845999999999989</v>
      </c>
      <c r="P25">
        <f>_xlfn.XLOOKUP(C25,Squad_Team_Summary!$A:$A,Squad_Team_Summary!$E:$E)-_xlfn.XLOOKUP(D25,Squad_Team_Summary!$A:$A,Squad_Team_Summary!$E:$E)</f>
        <v>-1.0384000000000002</v>
      </c>
      <c r="Q25">
        <f>_xlfn.XLOOKUP(C25,Squad_Team_Summary!$A:$A,Squad_Team_Summary!$F:$F)-_xlfn.XLOOKUP(D25,Squad_Team_Summary!$A:$A,Squad_Team_Summary!$F:$F)</f>
        <v>-1.615399999999994</v>
      </c>
      <c r="R25">
        <f>_xlfn.XLOOKUP(C25,Squad_Team_Summary!$A:$A,Squad_Team_Summary!$H:$H)-_xlfn.XLOOKUP(D25,Squad_Team_Summary!$A:$A,Squad_Team_Summary!$H:$H)</f>
        <v>-0.11540000000000006</v>
      </c>
    </row>
    <row r="26" spans="1:18" x14ac:dyDescent="0.3">
      <c r="A26">
        <v>400021482</v>
      </c>
      <c r="B26" t="s">
        <v>42</v>
      </c>
      <c r="C26" t="s">
        <v>45</v>
      </c>
      <c r="D26" t="s">
        <v>46</v>
      </c>
      <c r="E26" t="s">
        <v>17</v>
      </c>
      <c r="F26">
        <v>0</v>
      </c>
      <c r="G26">
        <v>503.6</v>
      </c>
      <c r="H26">
        <v>0</v>
      </c>
      <c r="I26">
        <v>0</v>
      </c>
      <c r="J26">
        <v>0</v>
      </c>
      <c r="K26">
        <v>0</v>
      </c>
      <c r="L26">
        <v>-2.9289999999999998</v>
      </c>
      <c r="M26">
        <v>0</v>
      </c>
      <c r="N26">
        <v>1</v>
      </c>
      <c r="O26">
        <f>_xlfn.XLOOKUP(C26,Squad_Team_Summary!$A:$A,Squad_Team_Summary!$D:$D)-_xlfn.XLOOKUP(D26,Squad_Team_Summary!$A:$A,Squad_Team_Summary!$D:$D)</f>
        <v>-0.80770000000000408</v>
      </c>
      <c r="P26">
        <f>_xlfn.XLOOKUP(C26,Squad_Team_Summary!$A:$A,Squad_Team_Summary!$E:$E)-_xlfn.XLOOKUP(D26,Squad_Team_Summary!$A:$A,Squad_Team_Summary!$E:$E)</f>
        <v>1.9615</v>
      </c>
      <c r="Q26">
        <f>_xlfn.XLOOKUP(C26,Squad_Team_Summary!$A:$A,Squad_Team_Summary!$F:$F)-_xlfn.XLOOKUP(D26,Squad_Team_Summary!$A:$A,Squad_Team_Summary!$F:$F)</f>
        <v>0.38459999999997763</v>
      </c>
      <c r="R26">
        <f>_xlfn.XLOOKUP(C26,Squad_Team_Summary!$A:$A,Squad_Team_Summary!$H:$H)-_xlfn.XLOOKUP(D26,Squad_Team_Summary!$A:$A,Squad_Team_Summary!$H:$H)</f>
        <v>-0.65379999999999994</v>
      </c>
    </row>
    <row r="27" spans="1:18" x14ac:dyDescent="0.3">
      <c r="A27">
        <v>400021482</v>
      </c>
      <c r="B27" t="s">
        <v>42</v>
      </c>
      <c r="C27" t="s">
        <v>46</v>
      </c>
      <c r="D27" t="s">
        <v>45</v>
      </c>
      <c r="E27" t="s">
        <v>18</v>
      </c>
      <c r="F27">
        <v>0</v>
      </c>
      <c r="G27">
        <v>-503.6</v>
      </c>
      <c r="H27">
        <v>0</v>
      </c>
      <c r="I27">
        <v>0</v>
      </c>
      <c r="J27">
        <v>0</v>
      </c>
      <c r="K27">
        <v>0</v>
      </c>
      <c r="L27">
        <v>2.9289999999999998</v>
      </c>
      <c r="M27">
        <v>0</v>
      </c>
      <c r="N27">
        <v>-1</v>
      </c>
      <c r="O27">
        <f>_xlfn.XLOOKUP(C27,Squad_Team_Summary!$A:$A,Squad_Team_Summary!$D:$D)-_xlfn.XLOOKUP(D27,Squad_Team_Summary!$A:$A,Squad_Team_Summary!$D:$D)</f>
        <v>0.80770000000000408</v>
      </c>
      <c r="P27">
        <f>_xlfn.XLOOKUP(C27,Squad_Team_Summary!$A:$A,Squad_Team_Summary!$E:$E)-_xlfn.XLOOKUP(D27,Squad_Team_Summary!$A:$A,Squad_Team_Summary!$E:$E)</f>
        <v>-1.9615</v>
      </c>
      <c r="Q27">
        <f>_xlfn.XLOOKUP(C27,Squad_Team_Summary!$A:$A,Squad_Team_Summary!$F:$F)-_xlfn.XLOOKUP(D27,Squad_Team_Summary!$A:$A,Squad_Team_Summary!$F:$F)</f>
        <v>-0.38459999999997763</v>
      </c>
      <c r="R27">
        <f>_xlfn.XLOOKUP(C27,Squad_Team_Summary!$A:$A,Squad_Team_Summary!$H:$H)-_xlfn.XLOOKUP(D27,Squad_Team_Summary!$A:$A,Squad_Team_Summary!$H:$H)</f>
        <v>0.65379999999999994</v>
      </c>
    </row>
    <row r="28" spans="1:18" x14ac:dyDescent="0.3">
      <c r="A28">
        <v>400021478</v>
      </c>
      <c r="B28" t="s">
        <v>42</v>
      </c>
      <c r="C28" t="s">
        <v>47</v>
      </c>
      <c r="D28" t="s">
        <v>48</v>
      </c>
      <c r="E28" t="s">
        <v>17</v>
      </c>
      <c r="F28">
        <v>1</v>
      </c>
      <c r="G28">
        <v>179.87</v>
      </c>
      <c r="H28">
        <v>0</v>
      </c>
      <c r="I28">
        <v>0</v>
      </c>
      <c r="J28">
        <v>0</v>
      </c>
      <c r="K28">
        <v>0</v>
      </c>
      <c r="L28">
        <v>-1.444</v>
      </c>
      <c r="M28">
        <v>0</v>
      </c>
      <c r="N28">
        <v>1</v>
      </c>
      <c r="O28">
        <f>_xlfn.XLOOKUP(C28,Squad_Team_Summary!$A:$A,Squad_Team_Summary!$D:$D)-_xlfn.XLOOKUP(D28,Squad_Team_Summary!$A:$A,Squad_Team_Summary!$D:$D)</f>
        <v>10.423000000000002</v>
      </c>
      <c r="P28">
        <f>_xlfn.XLOOKUP(C28,Squad_Team_Summary!$A:$A,Squad_Team_Summary!$E:$E)-_xlfn.XLOOKUP(D28,Squad_Team_Summary!$A:$A,Squad_Team_Summary!$E:$E)</f>
        <v>3.5</v>
      </c>
      <c r="Q28">
        <f>_xlfn.XLOOKUP(C28,Squad_Team_Summary!$A:$A,Squad_Team_Summary!$F:$F)-_xlfn.XLOOKUP(D28,Squad_Team_Summary!$A:$A,Squad_Team_Summary!$F:$F)</f>
        <v>4.6154000000000224</v>
      </c>
      <c r="R28">
        <f>_xlfn.XLOOKUP(C28,Squad_Team_Summary!$A:$A,Squad_Team_Summary!$H:$H)-_xlfn.XLOOKUP(D28,Squad_Team_Summary!$A:$A,Squad_Team_Summary!$H:$H)</f>
        <v>0.53839999999999999</v>
      </c>
    </row>
    <row r="29" spans="1:18" x14ac:dyDescent="0.3">
      <c r="A29">
        <v>400021478</v>
      </c>
      <c r="B29" t="s">
        <v>42</v>
      </c>
      <c r="C29" t="s">
        <v>48</v>
      </c>
      <c r="D29" t="s">
        <v>47</v>
      </c>
      <c r="E29" t="s">
        <v>18</v>
      </c>
      <c r="F29">
        <v>1</v>
      </c>
      <c r="G29">
        <v>-179.87</v>
      </c>
      <c r="H29">
        <v>0</v>
      </c>
      <c r="I29">
        <v>0</v>
      </c>
      <c r="J29">
        <v>0</v>
      </c>
      <c r="K29">
        <v>0</v>
      </c>
      <c r="L29">
        <v>1.444</v>
      </c>
      <c r="M29">
        <v>0</v>
      </c>
      <c r="N29">
        <v>-1</v>
      </c>
      <c r="O29">
        <f>_xlfn.XLOOKUP(C29,Squad_Team_Summary!$A:$A,Squad_Team_Summary!$D:$D)-_xlfn.XLOOKUP(D29,Squad_Team_Summary!$A:$A,Squad_Team_Summary!$D:$D)</f>
        <v>-10.423000000000002</v>
      </c>
      <c r="P29">
        <f>_xlfn.XLOOKUP(C29,Squad_Team_Summary!$A:$A,Squad_Team_Summary!$E:$E)-_xlfn.XLOOKUP(D29,Squad_Team_Summary!$A:$A,Squad_Team_Summary!$E:$E)</f>
        <v>-3.5</v>
      </c>
      <c r="Q29">
        <f>_xlfn.XLOOKUP(C29,Squad_Team_Summary!$A:$A,Squad_Team_Summary!$F:$F)-_xlfn.XLOOKUP(D29,Squad_Team_Summary!$A:$A,Squad_Team_Summary!$F:$F)</f>
        <v>-4.6154000000000224</v>
      </c>
      <c r="R29">
        <f>_xlfn.XLOOKUP(C29,Squad_Team_Summary!$A:$A,Squad_Team_Summary!$H:$H)-_xlfn.XLOOKUP(D29,Squad_Team_Summary!$A:$A,Squad_Team_Summary!$H:$H)</f>
        <v>-0.53839999999999999</v>
      </c>
    </row>
    <row r="30" spans="1:18" x14ac:dyDescent="0.3">
      <c r="A30">
        <v>400021486</v>
      </c>
      <c r="B30" t="s">
        <v>42</v>
      </c>
      <c r="C30" t="s">
        <v>49</v>
      </c>
      <c r="D30" t="s">
        <v>50</v>
      </c>
      <c r="E30" t="s">
        <v>17</v>
      </c>
      <c r="F30">
        <v>1</v>
      </c>
      <c r="G30">
        <v>-249.19</v>
      </c>
      <c r="H30">
        <v>0</v>
      </c>
      <c r="I30">
        <v>0</v>
      </c>
      <c r="J30">
        <v>0</v>
      </c>
      <c r="K30">
        <v>0</v>
      </c>
      <c r="L30">
        <v>-0.22600000000000001</v>
      </c>
      <c r="M30">
        <v>0</v>
      </c>
      <c r="N30">
        <v>-1</v>
      </c>
      <c r="O30">
        <f>_xlfn.XLOOKUP(C30,Squad_Team_Summary!$A:$A,Squad_Team_Summary!$D:$D)-_xlfn.XLOOKUP(D30,Squad_Team_Summary!$A:$A,Squad_Team_Summary!$D:$D)</f>
        <v>0.11540000000000106</v>
      </c>
      <c r="P30">
        <f>_xlfn.XLOOKUP(C30,Squad_Team_Summary!$A:$A,Squad_Team_Summary!$E:$E)-_xlfn.XLOOKUP(D30,Squad_Team_Summary!$A:$A,Squad_Team_Summary!$E:$E)</f>
        <v>0.76929999999999987</v>
      </c>
      <c r="Q30">
        <f>_xlfn.XLOOKUP(C30,Squad_Team_Summary!$A:$A,Squad_Team_Summary!$F:$F)-_xlfn.XLOOKUP(D30,Squad_Team_Summary!$A:$A,Squad_Team_Summary!$F:$F)</f>
        <v>-2.0383999999999958</v>
      </c>
      <c r="R30">
        <f>_xlfn.XLOOKUP(C30,Squad_Team_Summary!$A:$A,Squad_Team_Summary!$H:$H)-_xlfn.XLOOKUP(D30,Squad_Team_Summary!$A:$A,Squad_Team_Summary!$H:$H)</f>
        <v>-0.96150000000000002</v>
      </c>
    </row>
    <row r="31" spans="1:18" x14ac:dyDescent="0.3">
      <c r="A31">
        <v>400021486</v>
      </c>
      <c r="B31" t="s">
        <v>42</v>
      </c>
      <c r="C31" t="s">
        <v>50</v>
      </c>
      <c r="D31" t="s">
        <v>49</v>
      </c>
      <c r="E31" t="s">
        <v>18</v>
      </c>
      <c r="F31">
        <v>1</v>
      </c>
      <c r="G31">
        <v>249.19</v>
      </c>
      <c r="H31">
        <v>0</v>
      </c>
      <c r="I31">
        <v>0</v>
      </c>
      <c r="J31">
        <v>0</v>
      </c>
      <c r="K31">
        <v>0</v>
      </c>
      <c r="L31">
        <v>0.22600000000000001</v>
      </c>
      <c r="M31">
        <v>0</v>
      </c>
      <c r="N31">
        <v>1</v>
      </c>
      <c r="O31">
        <f>_xlfn.XLOOKUP(C31,Squad_Team_Summary!$A:$A,Squad_Team_Summary!$D:$D)-_xlfn.XLOOKUP(D31,Squad_Team_Summary!$A:$A,Squad_Team_Summary!$D:$D)</f>
        <v>-0.11540000000000106</v>
      </c>
      <c r="P31">
        <f>_xlfn.XLOOKUP(C31,Squad_Team_Summary!$A:$A,Squad_Team_Summary!$E:$E)-_xlfn.XLOOKUP(D31,Squad_Team_Summary!$A:$A,Squad_Team_Summary!$E:$E)</f>
        <v>-0.76929999999999987</v>
      </c>
      <c r="Q31">
        <f>_xlfn.XLOOKUP(C31,Squad_Team_Summary!$A:$A,Squad_Team_Summary!$F:$F)-_xlfn.XLOOKUP(D31,Squad_Team_Summary!$A:$A,Squad_Team_Summary!$F:$F)</f>
        <v>2.0383999999999958</v>
      </c>
      <c r="R31">
        <f>_xlfn.XLOOKUP(C31,Squad_Team_Summary!$A:$A,Squad_Team_Summary!$H:$H)-_xlfn.XLOOKUP(D31,Squad_Team_Summary!$A:$A,Squad_Team_Summary!$H:$H)</f>
        <v>0.96150000000000002</v>
      </c>
    </row>
    <row r="32" spans="1:18" x14ac:dyDescent="0.3">
      <c r="A32">
        <v>400021476</v>
      </c>
      <c r="B32" t="s">
        <v>51</v>
      </c>
      <c r="C32" t="s">
        <v>52</v>
      </c>
      <c r="D32" t="s">
        <v>53</v>
      </c>
      <c r="E32" t="s">
        <v>17</v>
      </c>
      <c r="F32">
        <v>2</v>
      </c>
      <c r="G32">
        <v>344</v>
      </c>
      <c r="H32">
        <v>0</v>
      </c>
      <c r="I32">
        <v>0</v>
      </c>
      <c r="J32">
        <v>0</v>
      </c>
      <c r="K32">
        <v>0</v>
      </c>
      <c r="L32">
        <v>2.0649999999999999</v>
      </c>
      <c r="M32">
        <v>0</v>
      </c>
      <c r="N32">
        <v>0</v>
      </c>
      <c r="O32">
        <f>_xlfn.XLOOKUP(C32,Squad_Team_Summary!$A:$A,Squad_Team_Summary!$D:$D)-_xlfn.XLOOKUP(D32,Squad_Team_Summary!$A:$A,Squad_Team_Summary!$D:$D)</f>
        <v>13.115299999999998</v>
      </c>
      <c r="P32">
        <f>_xlfn.XLOOKUP(C32,Squad_Team_Summary!$A:$A,Squad_Team_Summary!$E:$E)-_xlfn.XLOOKUP(D32,Squad_Team_Summary!$A:$A,Squad_Team_Summary!$E:$E)</f>
        <v>1.5768999999999993</v>
      </c>
      <c r="Q32">
        <f>_xlfn.XLOOKUP(C32,Squad_Team_Summary!$A:$A,Squad_Team_Summary!$F:$F)-_xlfn.XLOOKUP(D32,Squad_Team_Summary!$A:$A,Squad_Team_Summary!$F:$F)</f>
        <v>0.57689999999999486</v>
      </c>
      <c r="R32">
        <f>_xlfn.XLOOKUP(C32,Squad_Team_Summary!$A:$A,Squad_Team_Summary!$H:$H)-_xlfn.XLOOKUP(D32,Squad_Team_Summary!$A:$A,Squad_Team_Summary!$H:$H)</f>
        <v>-0.30760000000000004</v>
      </c>
    </row>
    <row r="33" spans="1:18" x14ac:dyDescent="0.3">
      <c r="A33">
        <v>400021476</v>
      </c>
      <c r="B33" t="s">
        <v>51</v>
      </c>
      <c r="C33" t="s">
        <v>53</v>
      </c>
      <c r="D33" t="s">
        <v>52</v>
      </c>
      <c r="E33" t="s">
        <v>18</v>
      </c>
      <c r="F33">
        <v>2</v>
      </c>
      <c r="G33">
        <v>-344</v>
      </c>
      <c r="H33">
        <v>0</v>
      </c>
      <c r="I33">
        <v>0</v>
      </c>
      <c r="J33">
        <v>0</v>
      </c>
      <c r="K33">
        <v>0</v>
      </c>
      <c r="L33">
        <v>-2.0649999999999999</v>
      </c>
      <c r="M33">
        <v>0</v>
      </c>
      <c r="N33">
        <v>0</v>
      </c>
      <c r="O33">
        <f>_xlfn.XLOOKUP(C33,Squad_Team_Summary!$A:$A,Squad_Team_Summary!$D:$D)-_xlfn.XLOOKUP(D33,Squad_Team_Summary!$A:$A,Squad_Team_Summary!$D:$D)</f>
        <v>-13.115299999999998</v>
      </c>
      <c r="P33">
        <f>_xlfn.XLOOKUP(C33,Squad_Team_Summary!$A:$A,Squad_Team_Summary!$E:$E)-_xlfn.XLOOKUP(D33,Squad_Team_Summary!$A:$A,Squad_Team_Summary!$E:$E)</f>
        <v>-1.5768999999999993</v>
      </c>
      <c r="Q33">
        <f>_xlfn.XLOOKUP(C33,Squad_Team_Summary!$A:$A,Squad_Team_Summary!$F:$F)-_xlfn.XLOOKUP(D33,Squad_Team_Summary!$A:$A,Squad_Team_Summary!$F:$F)</f>
        <v>-0.57689999999999486</v>
      </c>
      <c r="R33">
        <f>_xlfn.XLOOKUP(C33,Squad_Team_Summary!$A:$A,Squad_Team_Summary!$H:$H)-_xlfn.XLOOKUP(D33,Squad_Team_Summary!$A:$A,Squad_Team_Summary!$H:$H)</f>
        <v>0.30760000000000004</v>
      </c>
    </row>
    <row r="34" spans="1:18" x14ac:dyDescent="0.3">
      <c r="A34">
        <v>400021490</v>
      </c>
      <c r="B34" t="s">
        <v>51</v>
      </c>
      <c r="C34" t="s">
        <v>54</v>
      </c>
      <c r="D34" t="s">
        <v>55</v>
      </c>
      <c r="E34" t="s">
        <v>17</v>
      </c>
      <c r="F34">
        <v>3</v>
      </c>
      <c r="G34">
        <v>186.63</v>
      </c>
      <c r="H34">
        <v>0</v>
      </c>
      <c r="I34">
        <v>0</v>
      </c>
      <c r="J34">
        <v>0</v>
      </c>
      <c r="K34">
        <v>0</v>
      </c>
      <c r="L34">
        <v>-8.5999999999999993E-2</v>
      </c>
      <c r="M34">
        <v>0</v>
      </c>
      <c r="N34">
        <v>1</v>
      </c>
      <c r="O34">
        <f>_xlfn.XLOOKUP(C34,Squad_Team_Summary!$A:$A,Squad_Team_Summary!$D:$D)-_xlfn.XLOOKUP(D34,Squad_Team_Summary!$A:$A,Squad_Team_Summary!$D:$D)</f>
        <v>-6.0384000000000029</v>
      </c>
      <c r="P34">
        <f>_xlfn.XLOOKUP(C34,Squad_Team_Summary!$A:$A,Squad_Team_Summary!$E:$E)-_xlfn.XLOOKUP(D34,Squad_Team_Summary!$A:$A,Squad_Team_Summary!$E:$E)</f>
        <v>-0.80769999999999964</v>
      </c>
      <c r="Q34">
        <f>_xlfn.XLOOKUP(C34,Squad_Team_Summary!$A:$A,Squad_Team_Summary!$F:$F)-_xlfn.XLOOKUP(D34,Squad_Team_Summary!$A:$A,Squad_Team_Summary!$F:$F)</f>
        <v>0.96160000000000423</v>
      </c>
      <c r="R34">
        <f>_xlfn.XLOOKUP(C34,Squad_Team_Summary!$A:$A,Squad_Team_Summary!$H:$H)-_xlfn.XLOOKUP(D34,Squad_Team_Summary!$A:$A,Squad_Team_Summary!$H:$H)</f>
        <v>-0.30769999999999997</v>
      </c>
    </row>
    <row r="35" spans="1:18" x14ac:dyDescent="0.3">
      <c r="A35">
        <v>400021490</v>
      </c>
      <c r="B35" t="s">
        <v>51</v>
      </c>
      <c r="C35" t="s">
        <v>55</v>
      </c>
      <c r="D35" t="s">
        <v>54</v>
      </c>
      <c r="E35" t="s">
        <v>18</v>
      </c>
      <c r="F35">
        <v>1</v>
      </c>
      <c r="G35">
        <v>-186.63</v>
      </c>
      <c r="H35">
        <v>0</v>
      </c>
      <c r="I35">
        <v>0</v>
      </c>
      <c r="J35">
        <v>0</v>
      </c>
      <c r="K35">
        <v>0</v>
      </c>
      <c r="L35">
        <v>8.5999999999999993E-2</v>
      </c>
      <c r="M35">
        <v>0</v>
      </c>
      <c r="N35">
        <v>-1</v>
      </c>
      <c r="O35">
        <f>_xlfn.XLOOKUP(C35,Squad_Team_Summary!$A:$A,Squad_Team_Summary!$D:$D)-_xlfn.XLOOKUP(D35,Squad_Team_Summary!$A:$A,Squad_Team_Summary!$D:$D)</f>
        <v>6.0384000000000029</v>
      </c>
      <c r="P35">
        <f>_xlfn.XLOOKUP(C35,Squad_Team_Summary!$A:$A,Squad_Team_Summary!$E:$E)-_xlfn.XLOOKUP(D35,Squad_Team_Summary!$A:$A,Squad_Team_Summary!$E:$E)</f>
        <v>0.80769999999999964</v>
      </c>
      <c r="Q35">
        <f>_xlfn.XLOOKUP(C35,Squad_Team_Summary!$A:$A,Squad_Team_Summary!$F:$F)-_xlfn.XLOOKUP(D35,Squad_Team_Summary!$A:$A,Squad_Team_Summary!$F:$F)</f>
        <v>-0.96160000000000423</v>
      </c>
      <c r="R35">
        <f>_xlfn.XLOOKUP(C35,Squad_Team_Summary!$A:$A,Squad_Team_Summary!$H:$H)-_xlfn.XLOOKUP(D35,Squad_Team_Summary!$A:$A,Squad_Team_Summary!$H:$H)</f>
        <v>0.30769999999999997</v>
      </c>
    </row>
    <row r="36" spans="1:18" x14ac:dyDescent="0.3">
      <c r="A36">
        <v>400021488</v>
      </c>
      <c r="B36" t="s">
        <v>51</v>
      </c>
      <c r="C36" t="s">
        <v>56</v>
      </c>
      <c r="D36" t="s">
        <v>57</v>
      </c>
      <c r="E36" t="s">
        <v>17</v>
      </c>
      <c r="F36">
        <v>1</v>
      </c>
      <c r="G36">
        <v>-111.16</v>
      </c>
      <c r="H36">
        <v>0</v>
      </c>
      <c r="I36">
        <v>0</v>
      </c>
      <c r="J36">
        <v>0</v>
      </c>
      <c r="K36">
        <v>0</v>
      </c>
      <c r="L36">
        <v>0.111</v>
      </c>
      <c r="M36">
        <v>0</v>
      </c>
      <c r="N36">
        <v>-1</v>
      </c>
      <c r="O36">
        <f>_xlfn.XLOOKUP(C36,Squad_Team_Summary!$A:$A,Squad_Team_Summary!$D:$D)-_xlfn.XLOOKUP(D36,Squad_Team_Summary!$A:$A,Squad_Team_Summary!$D:$D)</f>
        <v>-0.69229999999999592</v>
      </c>
      <c r="P36">
        <f>_xlfn.XLOOKUP(C36,Squad_Team_Summary!$A:$A,Squad_Team_Summary!$E:$E)-_xlfn.XLOOKUP(D36,Squad_Team_Summary!$A:$A,Squad_Team_Summary!$E:$E)</f>
        <v>-1.6923000000000004</v>
      </c>
      <c r="Q36">
        <f>_xlfn.XLOOKUP(C36,Squad_Team_Summary!$A:$A,Squad_Team_Summary!$F:$F)-_xlfn.XLOOKUP(D36,Squad_Team_Summary!$A:$A,Squad_Team_Summary!$F:$F)</f>
        <v>-4.1152999999999906</v>
      </c>
      <c r="R36">
        <f>_xlfn.XLOOKUP(C36,Squad_Team_Summary!$A:$A,Squad_Team_Summary!$H:$H)-_xlfn.XLOOKUP(D36,Squad_Team_Summary!$A:$A,Squad_Team_Summary!$H:$H)</f>
        <v>-0.23080000000000001</v>
      </c>
    </row>
    <row r="37" spans="1:18" x14ac:dyDescent="0.3">
      <c r="A37">
        <v>400021488</v>
      </c>
      <c r="B37" t="s">
        <v>51</v>
      </c>
      <c r="C37" t="s">
        <v>57</v>
      </c>
      <c r="D37" t="s">
        <v>56</v>
      </c>
      <c r="E37" t="s">
        <v>18</v>
      </c>
      <c r="F37">
        <v>4</v>
      </c>
      <c r="G37">
        <v>111.16</v>
      </c>
      <c r="H37">
        <v>0</v>
      </c>
      <c r="I37">
        <v>0</v>
      </c>
      <c r="J37">
        <v>0</v>
      </c>
      <c r="K37">
        <v>0</v>
      </c>
      <c r="L37">
        <v>-0.111</v>
      </c>
      <c r="M37">
        <v>0</v>
      </c>
      <c r="N37">
        <v>1</v>
      </c>
      <c r="O37">
        <f>_xlfn.XLOOKUP(C37,Squad_Team_Summary!$A:$A,Squad_Team_Summary!$D:$D)-_xlfn.XLOOKUP(D37,Squad_Team_Summary!$A:$A,Squad_Team_Summary!$D:$D)</f>
        <v>0.69229999999999592</v>
      </c>
      <c r="P37">
        <f>_xlfn.XLOOKUP(C37,Squad_Team_Summary!$A:$A,Squad_Team_Summary!$E:$E)-_xlfn.XLOOKUP(D37,Squad_Team_Summary!$A:$A,Squad_Team_Summary!$E:$E)</f>
        <v>1.6923000000000004</v>
      </c>
      <c r="Q37">
        <f>_xlfn.XLOOKUP(C37,Squad_Team_Summary!$A:$A,Squad_Team_Summary!$F:$F)-_xlfn.XLOOKUP(D37,Squad_Team_Summary!$A:$A,Squad_Team_Summary!$F:$F)</f>
        <v>4.1152999999999906</v>
      </c>
      <c r="R37">
        <f>_xlfn.XLOOKUP(C37,Squad_Team_Summary!$A:$A,Squad_Team_Summary!$H:$H)-_xlfn.XLOOKUP(D37,Squad_Team_Summary!$A:$A,Squad_Team_Summary!$H:$H)</f>
        <v>0.23080000000000001</v>
      </c>
    </row>
    <row r="38" spans="1:18" x14ac:dyDescent="0.3">
      <c r="A38">
        <v>400021496</v>
      </c>
      <c r="B38" t="s">
        <v>58</v>
      </c>
      <c r="C38" t="s">
        <v>59</v>
      </c>
      <c r="D38" t="s">
        <v>60</v>
      </c>
      <c r="E38" t="s">
        <v>17</v>
      </c>
      <c r="F38">
        <v>3</v>
      </c>
      <c r="G38">
        <v>306.24</v>
      </c>
      <c r="H38">
        <v>0</v>
      </c>
      <c r="I38">
        <v>0</v>
      </c>
      <c r="J38">
        <v>0</v>
      </c>
      <c r="K38">
        <v>0</v>
      </c>
      <c r="L38">
        <v>2.2610000000000001</v>
      </c>
      <c r="M38">
        <v>0</v>
      </c>
      <c r="N38">
        <v>1</v>
      </c>
      <c r="O38">
        <f>_xlfn.XLOOKUP(C38,Squad_Team_Summary!$A:$A,Squad_Team_Summary!$D:$D)-_xlfn.XLOOKUP(D38,Squad_Team_Summary!$A:$A,Squad_Team_Summary!$D:$D)</f>
        <v>20.807700000000004</v>
      </c>
      <c r="P38">
        <f>_xlfn.XLOOKUP(C38,Squad_Team_Summary!$A:$A,Squad_Team_Summary!$E:$E)-_xlfn.XLOOKUP(D38,Squad_Team_Summary!$A:$A,Squad_Team_Summary!$E:$E)</f>
        <v>4.423</v>
      </c>
      <c r="Q38">
        <f>_xlfn.XLOOKUP(C38,Squad_Team_Summary!$A:$A,Squad_Team_Summary!$F:$F)-_xlfn.XLOOKUP(D38,Squad_Team_Summary!$A:$A,Squad_Team_Summary!$F:$F)</f>
        <v>-3.0768999999999949</v>
      </c>
      <c r="R38">
        <f>_xlfn.XLOOKUP(C38,Squad_Team_Summary!$A:$A,Squad_Team_Summary!$H:$H)-_xlfn.XLOOKUP(D38,Squad_Team_Summary!$A:$A,Squad_Team_Summary!$H:$H)</f>
        <v>3.8499999999999979E-2</v>
      </c>
    </row>
    <row r="39" spans="1:18" x14ac:dyDescent="0.3">
      <c r="A39">
        <v>400021496</v>
      </c>
      <c r="B39" t="s">
        <v>58</v>
      </c>
      <c r="C39" t="s">
        <v>60</v>
      </c>
      <c r="D39" t="s">
        <v>59</v>
      </c>
      <c r="E39" t="s">
        <v>18</v>
      </c>
      <c r="F39">
        <v>0</v>
      </c>
      <c r="G39">
        <v>-306.24</v>
      </c>
      <c r="H39">
        <v>0</v>
      </c>
      <c r="I39">
        <v>0</v>
      </c>
      <c r="J39">
        <v>0</v>
      </c>
      <c r="K39">
        <v>0</v>
      </c>
      <c r="L39">
        <v>-2.2610000000000001</v>
      </c>
      <c r="M39">
        <v>0</v>
      </c>
      <c r="N39">
        <v>-1</v>
      </c>
      <c r="O39">
        <f>_xlfn.XLOOKUP(C39,Squad_Team_Summary!$A:$A,Squad_Team_Summary!$D:$D)-_xlfn.XLOOKUP(D39,Squad_Team_Summary!$A:$A,Squad_Team_Summary!$D:$D)</f>
        <v>-20.807700000000004</v>
      </c>
      <c r="P39">
        <f>_xlfn.XLOOKUP(C39,Squad_Team_Summary!$A:$A,Squad_Team_Summary!$E:$E)-_xlfn.XLOOKUP(D39,Squad_Team_Summary!$A:$A,Squad_Team_Summary!$E:$E)</f>
        <v>-4.423</v>
      </c>
      <c r="Q39">
        <f>_xlfn.XLOOKUP(C39,Squad_Team_Summary!$A:$A,Squad_Team_Summary!$F:$F)-_xlfn.XLOOKUP(D39,Squad_Team_Summary!$A:$A,Squad_Team_Summary!$F:$F)</f>
        <v>3.0768999999999949</v>
      </c>
      <c r="R39">
        <f>_xlfn.XLOOKUP(C39,Squad_Team_Summary!$A:$A,Squad_Team_Summary!$H:$H)-_xlfn.XLOOKUP(D39,Squad_Team_Summary!$A:$A,Squad_Team_Summary!$H:$H)</f>
        <v>-3.8499999999999979E-2</v>
      </c>
    </row>
    <row r="40" spans="1:18" x14ac:dyDescent="0.3">
      <c r="A40">
        <v>400021498</v>
      </c>
      <c r="B40" t="s">
        <v>58</v>
      </c>
      <c r="C40" t="s">
        <v>61</v>
      </c>
      <c r="D40" t="s">
        <v>62</v>
      </c>
      <c r="E40" t="s">
        <v>17</v>
      </c>
      <c r="F40">
        <v>3</v>
      </c>
      <c r="G40">
        <v>209.66</v>
      </c>
      <c r="H40">
        <v>0</v>
      </c>
      <c r="I40">
        <v>0</v>
      </c>
      <c r="J40">
        <v>0</v>
      </c>
      <c r="K40">
        <v>0</v>
      </c>
      <c r="L40">
        <v>0.14599999999999999</v>
      </c>
      <c r="M40">
        <v>0</v>
      </c>
      <c r="N40">
        <v>1</v>
      </c>
      <c r="O40">
        <f>_xlfn.XLOOKUP(C40,Squad_Team_Summary!$A:$A,Squad_Team_Summary!$D:$D)-_xlfn.XLOOKUP(D40,Squad_Team_Summary!$A:$A,Squad_Team_Summary!$D:$D)</f>
        <v>-1.6539000000000001</v>
      </c>
      <c r="P40">
        <f>_xlfn.XLOOKUP(C40,Squad_Team_Summary!$A:$A,Squad_Team_Summary!$E:$E)-_xlfn.XLOOKUP(D40,Squad_Team_Summary!$A:$A,Squad_Team_Summary!$E:$E)</f>
        <v>2.3461999999999996</v>
      </c>
      <c r="Q40">
        <f>_xlfn.XLOOKUP(C40,Squad_Team_Summary!$A:$A,Squad_Team_Summary!$F:$F)-_xlfn.XLOOKUP(D40,Squad_Team_Summary!$A:$A,Squad_Team_Summary!$F:$F)</f>
        <v>4.6537999999999897</v>
      </c>
      <c r="R40">
        <f>_xlfn.XLOOKUP(C40,Squad_Team_Summary!$A:$A,Squad_Team_Summary!$H:$H)-_xlfn.XLOOKUP(D40,Squad_Team_Summary!$A:$A,Squad_Team_Summary!$H:$H)</f>
        <v>0.34610000000000007</v>
      </c>
    </row>
    <row r="41" spans="1:18" x14ac:dyDescent="0.3">
      <c r="A41">
        <v>400021498</v>
      </c>
      <c r="B41" t="s">
        <v>58</v>
      </c>
      <c r="C41" t="s">
        <v>62</v>
      </c>
      <c r="D41" t="s">
        <v>61</v>
      </c>
      <c r="E41" t="s">
        <v>18</v>
      </c>
      <c r="F41">
        <v>1</v>
      </c>
      <c r="G41">
        <v>-209.66</v>
      </c>
      <c r="H41">
        <v>0</v>
      </c>
      <c r="I41">
        <v>0</v>
      </c>
      <c r="J41">
        <v>0</v>
      </c>
      <c r="K41">
        <v>0</v>
      </c>
      <c r="L41">
        <v>-0.14599999999999999</v>
      </c>
      <c r="M41">
        <v>0</v>
      </c>
      <c r="N41">
        <v>-1</v>
      </c>
      <c r="O41">
        <f>_xlfn.XLOOKUP(C41,Squad_Team_Summary!$A:$A,Squad_Team_Summary!$D:$D)-_xlfn.XLOOKUP(D41,Squad_Team_Summary!$A:$A,Squad_Team_Summary!$D:$D)</f>
        <v>1.6539000000000001</v>
      </c>
      <c r="P41">
        <f>_xlfn.XLOOKUP(C41,Squad_Team_Summary!$A:$A,Squad_Team_Summary!$E:$E)-_xlfn.XLOOKUP(D41,Squad_Team_Summary!$A:$A,Squad_Team_Summary!$E:$E)</f>
        <v>-2.3461999999999996</v>
      </c>
      <c r="Q41">
        <f>_xlfn.XLOOKUP(C41,Squad_Team_Summary!$A:$A,Squad_Team_Summary!$F:$F)-_xlfn.XLOOKUP(D41,Squad_Team_Summary!$A:$A,Squad_Team_Summary!$F:$F)</f>
        <v>-4.6537999999999897</v>
      </c>
      <c r="R41">
        <f>_xlfn.XLOOKUP(C41,Squad_Team_Summary!$A:$A,Squad_Team_Summary!$H:$H)-_xlfn.XLOOKUP(D41,Squad_Team_Summary!$A:$A,Squad_Team_Summary!$H:$H)</f>
        <v>-0.34610000000000007</v>
      </c>
    </row>
    <row r="42" spans="1:18" x14ac:dyDescent="0.3">
      <c r="A42">
        <v>400021502</v>
      </c>
      <c r="B42" t="s">
        <v>58</v>
      </c>
      <c r="C42" t="s">
        <v>63</v>
      </c>
      <c r="D42" t="s">
        <v>64</v>
      </c>
      <c r="E42" t="s">
        <v>17</v>
      </c>
      <c r="F42">
        <v>1</v>
      </c>
      <c r="G42">
        <v>293.42</v>
      </c>
      <c r="H42">
        <v>0</v>
      </c>
      <c r="I42">
        <v>0</v>
      </c>
      <c r="J42">
        <v>0</v>
      </c>
      <c r="K42">
        <v>0</v>
      </c>
      <c r="L42">
        <v>-1.0329999999999999</v>
      </c>
      <c r="M42">
        <v>0</v>
      </c>
      <c r="N42">
        <v>1</v>
      </c>
      <c r="O42">
        <f>_xlfn.XLOOKUP(C42,Squad_Team_Summary!$A:$A,Squad_Team_Summary!$D:$D)-_xlfn.XLOOKUP(D42,Squad_Team_Summary!$A:$A,Squad_Team_Summary!$D:$D)</f>
        <v>14.8461</v>
      </c>
      <c r="P42">
        <f>_xlfn.XLOOKUP(C42,Squad_Team_Summary!$A:$A,Squad_Team_Summary!$E:$E)-_xlfn.XLOOKUP(D42,Squad_Team_Summary!$A:$A,Squad_Team_Summary!$E:$E)</f>
        <v>6.9616000000000007</v>
      </c>
      <c r="Q42">
        <f>_xlfn.XLOOKUP(C42,Squad_Team_Summary!$A:$A,Squad_Team_Summary!$F:$F)-_xlfn.XLOOKUP(D42,Squad_Team_Summary!$A:$A,Squad_Team_Summary!$F:$F)</f>
        <v>0.5</v>
      </c>
      <c r="R42">
        <f>_xlfn.XLOOKUP(C42,Squad_Team_Summary!$A:$A,Squad_Team_Summary!$H:$H)-_xlfn.XLOOKUP(D42,Squad_Team_Summary!$A:$A,Squad_Team_Summary!$H:$H)</f>
        <v>-0.19230000000000003</v>
      </c>
    </row>
    <row r="43" spans="1:18" x14ac:dyDescent="0.3">
      <c r="A43">
        <v>400021502</v>
      </c>
      <c r="B43" t="s">
        <v>58</v>
      </c>
      <c r="C43" t="s">
        <v>64</v>
      </c>
      <c r="D43" t="s">
        <v>63</v>
      </c>
      <c r="E43" t="s">
        <v>18</v>
      </c>
      <c r="F43">
        <v>1</v>
      </c>
      <c r="G43">
        <v>-293.42</v>
      </c>
      <c r="H43">
        <v>0</v>
      </c>
      <c r="I43">
        <v>0</v>
      </c>
      <c r="J43">
        <v>0</v>
      </c>
      <c r="K43">
        <v>0</v>
      </c>
      <c r="L43">
        <v>1.0329999999999999</v>
      </c>
      <c r="M43">
        <v>0</v>
      </c>
      <c r="N43">
        <v>-1</v>
      </c>
      <c r="O43">
        <f>_xlfn.XLOOKUP(C43,Squad_Team_Summary!$A:$A,Squad_Team_Summary!$D:$D)-_xlfn.XLOOKUP(D43,Squad_Team_Summary!$A:$A,Squad_Team_Summary!$D:$D)</f>
        <v>-14.8461</v>
      </c>
      <c r="P43">
        <f>_xlfn.XLOOKUP(C43,Squad_Team_Summary!$A:$A,Squad_Team_Summary!$E:$E)-_xlfn.XLOOKUP(D43,Squad_Team_Summary!$A:$A,Squad_Team_Summary!$E:$E)</f>
        <v>-6.9616000000000007</v>
      </c>
      <c r="Q43">
        <f>_xlfn.XLOOKUP(C43,Squad_Team_Summary!$A:$A,Squad_Team_Summary!$F:$F)-_xlfn.XLOOKUP(D43,Squad_Team_Summary!$A:$A,Squad_Team_Summary!$F:$F)</f>
        <v>-0.5</v>
      </c>
      <c r="R43">
        <f>_xlfn.XLOOKUP(C43,Squad_Team_Summary!$A:$A,Squad_Team_Summary!$H:$H)-_xlfn.XLOOKUP(D43,Squad_Team_Summary!$A:$A,Squad_Team_Summary!$H:$H)</f>
        <v>0.19230000000000003</v>
      </c>
    </row>
    <row r="44" spans="1:18" x14ac:dyDescent="0.3">
      <c r="A44">
        <v>400021507</v>
      </c>
      <c r="B44" t="s">
        <v>58</v>
      </c>
      <c r="C44" t="s">
        <v>65</v>
      </c>
      <c r="D44" t="s">
        <v>66</v>
      </c>
      <c r="E44" t="s">
        <v>17</v>
      </c>
      <c r="F44">
        <v>4</v>
      </c>
      <c r="G44">
        <v>113.15</v>
      </c>
      <c r="H44">
        <v>0</v>
      </c>
      <c r="I44">
        <v>0</v>
      </c>
      <c r="J44">
        <v>0</v>
      </c>
      <c r="K44">
        <v>0</v>
      </c>
      <c r="L44">
        <v>-1.056</v>
      </c>
      <c r="M44">
        <v>0</v>
      </c>
      <c r="N44">
        <v>0</v>
      </c>
      <c r="O44">
        <f>_xlfn.XLOOKUP(C44,Squad_Team_Summary!$A:$A,Squad_Team_Summary!$D:$D)-_xlfn.XLOOKUP(D44,Squad_Team_Summary!$A:$A,Squad_Team_Summary!$D:$D)</f>
        <v>-9.923099999999998</v>
      </c>
      <c r="P44">
        <f>_xlfn.XLOOKUP(C44,Squad_Team_Summary!$A:$A,Squad_Team_Summary!$E:$E)-_xlfn.XLOOKUP(D44,Squad_Team_Summary!$A:$A,Squad_Team_Summary!$E:$E)</f>
        <v>0.38459999999999983</v>
      </c>
      <c r="Q44">
        <f>_xlfn.XLOOKUP(C44,Squad_Team_Summary!$A:$A,Squad_Team_Summary!$F:$F)-_xlfn.XLOOKUP(D44,Squad_Team_Summary!$A:$A,Squad_Team_Summary!$F:$F)</f>
        <v>-0.15380000000001814</v>
      </c>
      <c r="R44">
        <f>_xlfn.XLOOKUP(C44,Squad_Team_Summary!$A:$A,Squad_Team_Summary!$H:$H)-_xlfn.XLOOKUP(D44,Squad_Team_Summary!$A:$A,Squad_Team_Summary!$H:$H)</f>
        <v>-0.73080000000000001</v>
      </c>
    </row>
    <row r="45" spans="1:18" x14ac:dyDescent="0.3">
      <c r="A45">
        <v>400021507</v>
      </c>
      <c r="B45" t="s">
        <v>58</v>
      </c>
      <c r="C45" t="s">
        <v>66</v>
      </c>
      <c r="D45" t="s">
        <v>65</v>
      </c>
      <c r="E45" t="s">
        <v>18</v>
      </c>
      <c r="F45">
        <v>2</v>
      </c>
      <c r="G45">
        <v>-113.15</v>
      </c>
      <c r="H45">
        <v>0</v>
      </c>
      <c r="I45">
        <v>0</v>
      </c>
      <c r="J45">
        <v>0</v>
      </c>
      <c r="K45">
        <v>0</v>
      </c>
      <c r="L45">
        <v>1.056</v>
      </c>
      <c r="M45">
        <v>0</v>
      </c>
      <c r="N45">
        <v>0</v>
      </c>
      <c r="O45">
        <f>_xlfn.XLOOKUP(C45,Squad_Team_Summary!$A:$A,Squad_Team_Summary!$D:$D)-_xlfn.XLOOKUP(D45,Squad_Team_Summary!$A:$A,Squad_Team_Summary!$D:$D)</f>
        <v>9.923099999999998</v>
      </c>
      <c r="P45">
        <f>_xlfn.XLOOKUP(C45,Squad_Team_Summary!$A:$A,Squad_Team_Summary!$E:$E)-_xlfn.XLOOKUP(D45,Squad_Team_Summary!$A:$A,Squad_Team_Summary!$E:$E)</f>
        <v>-0.38459999999999983</v>
      </c>
      <c r="Q45">
        <f>_xlfn.XLOOKUP(C45,Squad_Team_Summary!$A:$A,Squad_Team_Summary!$F:$F)-_xlfn.XLOOKUP(D45,Squad_Team_Summary!$A:$A,Squad_Team_Summary!$F:$F)</f>
        <v>0.15380000000001814</v>
      </c>
      <c r="R45">
        <f>_xlfn.XLOOKUP(C45,Squad_Team_Summary!$A:$A,Squad_Team_Summary!$H:$H)-_xlfn.XLOOKUP(D45,Squad_Team_Summary!$A:$A,Squad_Team_Summary!$H:$H)</f>
        <v>0.73080000000000001</v>
      </c>
    </row>
    <row r="46" spans="1:18" x14ac:dyDescent="0.3">
      <c r="A46">
        <v>400021510</v>
      </c>
      <c r="B46" t="s">
        <v>58</v>
      </c>
      <c r="C46" t="s">
        <v>67</v>
      </c>
      <c r="D46" t="s">
        <v>68</v>
      </c>
      <c r="E46" t="s">
        <v>17</v>
      </c>
      <c r="F46">
        <v>1</v>
      </c>
      <c r="G46">
        <v>-192.28</v>
      </c>
      <c r="H46">
        <v>0</v>
      </c>
      <c r="I46">
        <v>0</v>
      </c>
      <c r="J46">
        <v>0</v>
      </c>
      <c r="K46">
        <v>0</v>
      </c>
      <c r="L46">
        <v>-3.4510000000000001</v>
      </c>
      <c r="M46">
        <v>0</v>
      </c>
      <c r="N46">
        <v>0</v>
      </c>
      <c r="O46">
        <f>_xlfn.XLOOKUP(C46,Squad_Team_Summary!$A:$A,Squad_Team_Summary!$D:$D)-_xlfn.XLOOKUP(D46,Squad_Team_Summary!$A:$A,Squad_Team_Summary!$D:$D)</f>
        <v>-36.730800000000002</v>
      </c>
      <c r="P46">
        <f>_xlfn.XLOOKUP(C46,Squad_Team_Summary!$A:$A,Squad_Team_Summary!$E:$E)-_xlfn.XLOOKUP(D46,Squad_Team_Summary!$A:$A,Squad_Team_Summary!$E:$E)</f>
        <v>-2.1922999999999999</v>
      </c>
      <c r="Q46">
        <f>_xlfn.XLOOKUP(C46,Squad_Team_Summary!$A:$A,Squad_Team_Summary!$F:$F)-_xlfn.XLOOKUP(D46,Squad_Team_Summary!$A:$A,Squad_Team_Summary!$F:$F)</f>
        <v>1.0384999999999991</v>
      </c>
      <c r="R46">
        <f>_xlfn.XLOOKUP(C46,Squad_Team_Summary!$A:$A,Squad_Team_Summary!$H:$H)-_xlfn.XLOOKUP(D46,Squad_Team_Summary!$A:$A,Squad_Team_Summary!$H:$H)</f>
        <v>3.839999999999999E-2</v>
      </c>
    </row>
    <row r="47" spans="1:18" x14ac:dyDescent="0.3">
      <c r="A47">
        <v>400021510</v>
      </c>
      <c r="B47" t="s">
        <v>58</v>
      </c>
      <c r="C47" t="s">
        <v>68</v>
      </c>
      <c r="D47" t="s">
        <v>67</v>
      </c>
      <c r="E47" t="s">
        <v>18</v>
      </c>
      <c r="F47">
        <v>0</v>
      </c>
      <c r="G47">
        <v>192.28</v>
      </c>
      <c r="H47">
        <v>0</v>
      </c>
      <c r="I47">
        <v>0</v>
      </c>
      <c r="J47">
        <v>0</v>
      </c>
      <c r="K47">
        <v>0</v>
      </c>
      <c r="L47">
        <v>3.4510000000000001</v>
      </c>
      <c r="M47">
        <v>0</v>
      </c>
      <c r="N47">
        <v>0</v>
      </c>
      <c r="O47">
        <f>_xlfn.XLOOKUP(C47,Squad_Team_Summary!$A:$A,Squad_Team_Summary!$D:$D)-_xlfn.XLOOKUP(D47,Squad_Team_Summary!$A:$A,Squad_Team_Summary!$D:$D)</f>
        <v>36.730800000000002</v>
      </c>
      <c r="P47">
        <f>_xlfn.XLOOKUP(C47,Squad_Team_Summary!$A:$A,Squad_Team_Summary!$E:$E)-_xlfn.XLOOKUP(D47,Squad_Team_Summary!$A:$A,Squad_Team_Summary!$E:$E)</f>
        <v>2.1922999999999999</v>
      </c>
      <c r="Q47">
        <f>_xlfn.XLOOKUP(C47,Squad_Team_Summary!$A:$A,Squad_Team_Summary!$F:$F)-_xlfn.XLOOKUP(D47,Squad_Team_Summary!$A:$A,Squad_Team_Summary!$F:$F)</f>
        <v>-1.0384999999999991</v>
      </c>
      <c r="R47">
        <f>_xlfn.XLOOKUP(C47,Squad_Team_Summary!$A:$A,Squad_Team_Summary!$H:$H)-_xlfn.XLOOKUP(D47,Squad_Team_Summary!$A:$A,Squad_Team_Summary!$H:$H)</f>
        <v>-3.839999999999999E-2</v>
      </c>
    </row>
    <row r="48" spans="1:18" x14ac:dyDescent="0.3">
      <c r="A48">
        <v>400021504</v>
      </c>
      <c r="B48" t="s">
        <v>69</v>
      </c>
      <c r="C48" t="s">
        <v>70</v>
      </c>
      <c r="D48" t="s">
        <v>71</v>
      </c>
      <c r="E48" t="s">
        <v>17</v>
      </c>
      <c r="F48">
        <v>1</v>
      </c>
      <c r="G48">
        <v>-239.62</v>
      </c>
      <c r="H48">
        <v>0</v>
      </c>
      <c r="I48">
        <v>0</v>
      </c>
      <c r="J48">
        <v>0</v>
      </c>
      <c r="K48">
        <v>0</v>
      </c>
      <c r="L48">
        <v>-1.8759999999999999</v>
      </c>
      <c r="M48">
        <v>0</v>
      </c>
      <c r="N48">
        <v>-1</v>
      </c>
      <c r="O48">
        <f>_xlfn.XLOOKUP(C48,Squad_Team_Summary!$A:$A,Squad_Team_Summary!$D:$D)-_xlfn.XLOOKUP(D48,Squad_Team_Summary!$A:$A,Squad_Team_Summary!$D:$D)</f>
        <v>-4.4615000000000009</v>
      </c>
      <c r="P48">
        <f>_xlfn.XLOOKUP(C48,Squad_Team_Summary!$A:$A,Squad_Team_Summary!$E:$E)-_xlfn.XLOOKUP(D48,Squad_Team_Summary!$A:$A,Squad_Team_Summary!$E:$E)</f>
        <v>0.30760000000000076</v>
      </c>
      <c r="Q48">
        <f>_xlfn.XLOOKUP(C48,Squad_Team_Summary!$A:$A,Squad_Team_Summary!$F:$F)-_xlfn.XLOOKUP(D48,Squad_Team_Summary!$A:$A,Squad_Team_Summary!$F:$F)</f>
        <v>1.884600000000006</v>
      </c>
      <c r="R48">
        <f>_xlfn.XLOOKUP(C48,Squad_Team_Summary!$A:$A,Squad_Team_Summary!$H:$H)-_xlfn.XLOOKUP(D48,Squad_Team_Summary!$A:$A,Squad_Team_Summary!$H:$H)</f>
        <v>-0.57689999999999997</v>
      </c>
    </row>
    <row r="49" spans="1:18" x14ac:dyDescent="0.3">
      <c r="A49">
        <v>400021504</v>
      </c>
      <c r="B49" t="s">
        <v>69</v>
      </c>
      <c r="C49" t="s">
        <v>71</v>
      </c>
      <c r="D49" t="s">
        <v>70</v>
      </c>
      <c r="E49" t="s">
        <v>18</v>
      </c>
      <c r="F49">
        <v>3</v>
      </c>
      <c r="G49">
        <v>239.62</v>
      </c>
      <c r="H49">
        <v>0</v>
      </c>
      <c r="I49">
        <v>0</v>
      </c>
      <c r="J49">
        <v>0</v>
      </c>
      <c r="K49">
        <v>0</v>
      </c>
      <c r="L49">
        <v>1.8759999999999999</v>
      </c>
      <c r="M49">
        <v>0</v>
      </c>
      <c r="N49">
        <v>1</v>
      </c>
      <c r="O49">
        <f>_xlfn.XLOOKUP(C49,Squad_Team_Summary!$A:$A,Squad_Team_Summary!$D:$D)-_xlfn.XLOOKUP(D49,Squad_Team_Summary!$A:$A,Squad_Team_Summary!$D:$D)</f>
        <v>4.4615000000000009</v>
      </c>
      <c r="P49">
        <f>_xlfn.XLOOKUP(C49,Squad_Team_Summary!$A:$A,Squad_Team_Summary!$E:$E)-_xlfn.XLOOKUP(D49,Squad_Team_Summary!$A:$A,Squad_Team_Summary!$E:$E)</f>
        <v>-0.30760000000000076</v>
      </c>
      <c r="Q49">
        <f>_xlfn.XLOOKUP(C49,Squad_Team_Summary!$A:$A,Squad_Team_Summary!$F:$F)-_xlfn.XLOOKUP(D49,Squad_Team_Summary!$A:$A,Squad_Team_Summary!$F:$F)</f>
        <v>-1.884600000000006</v>
      </c>
      <c r="R49">
        <f>_xlfn.XLOOKUP(C49,Squad_Team_Summary!$A:$A,Squad_Team_Summary!$H:$H)-_xlfn.XLOOKUP(D49,Squad_Team_Summary!$A:$A,Squad_Team_Summary!$H:$H)</f>
        <v>0.57689999999999997</v>
      </c>
    </row>
    <row r="50" spans="1:18" x14ac:dyDescent="0.3">
      <c r="A50">
        <v>400021440</v>
      </c>
      <c r="B50" t="s">
        <v>69</v>
      </c>
      <c r="C50" t="s">
        <v>21</v>
      </c>
      <c r="D50" t="s">
        <v>16</v>
      </c>
      <c r="E50" t="s">
        <v>17</v>
      </c>
      <c r="F50">
        <v>1</v>
      </c>
      <c r="G50">
        <v>77.36</v>
      </c>
      <c r="H50">
        <v>0</v>
      </c>
      <c r="I50">
        <v>0.5</v>
      </c>
      <c r="J50">
        <v>0</v>
      </c>
      <c r="K50">
        <v>0</v>
      </c>
      <c r="L50">
        <v>0.81200000000000006</v>
      </c>
      <c r="M50">
        <v>-1</v>
      </c>
      <c r="N50">
        <v>1</v>
      </c>
      <c r="O50">
        <f>_xlfn.XLOOKUP(C50,Squad_Team_Summary!$A:$A,Squad_Team_Summary!$D:$D)-_xlfn.XLOOKUP(D50,Squad_Team_Summary!$A:$A,Squad_Team_Summary!$D:$D)</f>
        <v>6.8553999999999995</v>
      </c>
      <c r="P50">
        <f>_xlfn.XLOOKUP(C50,Squad_Team_Summary!$A:$A,Squad_Team_Summary!$E:$E)-_xlfn.XLOOKUP(D50,Squad_Team_Summary!$A:$A,Squad_Team_Summary!$E:$E)</f>
        <v>1.2061999999999999</v>
      </c>
      <c r="Q50">
        <f>_xlfn.XLOOKUP(C50,Squad_Team_Summary!$A:$A,Squad_Team_Summary!$F:$F)-_xlfn.XLOOKUP(D50,Squad_Team_Summary!$A:$A,Squad_Team_Summary!$F:$F)</f>
        <v>6.8108000000000004</v>
      </c>
      <c r="R50">
        <f>_xlfn.XLOOKUP(C50,Squad_Team_Summary!$A:$A,Squad_Team_Summary!$H:$H)-_xlfn.XLOOKUP(D50,Squad_Team_Summary!$A:$A,Squad_Team_Summary!$H:$H)</f>
        <v>6.6199999999999981E-2</v>
      </c>
    </row>
    <row r="51" spans="1:18" x14ac:dyDescent="0.3">
      <c r="A51">
        <v>400021440</v>
      </c>
      <c r="B51" t="s">
        <v>69</v>
      </c>
      <c r="C51" t="s">
        <v>16</v>
      </c>
      <c r="D51" t="s">
        <v>21</v>
      </c>
      <c r="E51" t="s">
        <v>18</v>
      </c>
      <c r="F51">
        <v>1</v>
      </c>
      <c r="G51">
        <v>-77.36</v>
      </c>
      <c r="H51">
        <v>0</v>
      </c>
      <c r="I51">
        <v>-0.5</v>
      </c>
      <c r="J51">
        <v>0</v>
      </c>
      <c r="K51">
        <v>0</v>
      </c>
      <c r="L51">
        <v>-0.81200000000000006</v>
      </c>
      <c r="M51">
        <v>1</v>
      </c>
      <c r="N51">
        <v>-1</v>
      </c>
      <c r="O51">
        <f>_xlfn.XLOOKUP(C51,Squad_Team_Summary!$A:$A,Squad_Team_Summary!$D:$D)-_xlfn.XLOOKUP(D51,Squad_Team_Summary!$A:$A,Squad_Team_Summary!$D:$D)</f>
        <v>-6.8553999999999995</v>
      </c>
      <c r="P51">
        <f>_xlfn.XLOOKUP(C51,Squad_Team_Summary!$A:$A,Squad_Team_Summary!$E:$E)-_xlfn.XLOOKUP(D51,Squad_Team_Summary!$A:$A,Squad_Team_Summary!$E:$E)</f>
        <v>-1.2061999999999999</v>
      </c>
      <c r="Q51">
        <f>_xlfn.XLOOKUP(C51,Squad_Team_Summary!$A:$A,Squad_Team_Summary!$F:$F)-_xlfn.XLOOKUP(D51,Squad_Team_Summary!$A:$A,Squad_Team_Summary!$F:$F)</f>
        <v>-6.8108000000000004</v>
      </c>
      <c r="R51">
        <f>_xlfn.XLOOKUP(C51,Squad_Team_Summary!$A:$A,Squad_Team_Summary!$H:$H)-_xlfn.XLOOKUP(D51,Squad_Team_Summary!$A:$A,Squad_Team_Summary!$H:$H)</f>
        <v>-6.6199999999999981E-2</v>
      </c>
    </row>
    <row r="52" spans="1:18" x14ac:dyDescent="0.3">
      <c r="A52">
        <v>400021446</v>
      </c>
      <c r="B52" t="s">
        <v>69</v>
      </c>
      <c r="C52" t="s">
        <v>28</v>
      </c>
      <c r="D52" t="s">
        <v>23</v>
      </c>
      <c r="E52" t="s">
        <v>17</v>
      </c>
      <c r="F52">
        <v>4</v>
      </c>
      <c r="G52">
        <v>262.83999999999997</v>
      </c>
      <c r="H52">
        <v>0</v>
      </c>
      <c r="I52">
        <v>0</v>
      </c>
      <c r="J52">
        <v>0</v>
      </c>
      <c r="K52">
        <v>0</v>
      </c>
      <c r="L52">
        <v>1.851</v>
      </c>
      <c r="M52">
        <v>-1</v>
      </c>
      <c r="N52">
        <v>0</v>
      </c>
      <c r="O52">
        <f>_xlfn.XLOOKUP(C52,Squad_Team_Summary!$A:$A,Squad_Team_Summary!$D:$D)-_xlfn.XLOOKUP(D52,Squad_Team_Summary!$A:$A,Squad_Team_Summary!$D:$D)</f>
        <v>21.884599999999995</v>
      </c>
      <c r="P52">
        <f>_xlfn.XLOOKUP(C52,Squad_Team_Summary!$A:$A,Squad_Team_Summary!$E:$E)-_xlfn.XLOOKUP(D52,Squad_Team_Summary!$A:$A,Squad_Team_Summary!$E:$E)</f>
        <v>1.4230000000000005</v>
      </c>
      <c r="Q52">
        <f>_xlfn.XLOOKUP(C52,Squad_Team_Summary!$A:$A,Squad_Team_Summary!$F:$F)-_xlfn.XLOOKUP(D52,Squad_Team_Summary!$A:$A,Squad_Team_Summary!$F:$F)</f>
        <v>-1.846100000000007</v>
      </c>
      <c r="R52">
        <f>_xlfn.XLOOKUP(C52,Squad_Team_Summary!$A:$A,Squad_Team_Summary!$H:$H)-_xlfn.XLOOKUP(D52,Squad_Team_Summary!$A:$A,Squad_Team_Summary!$H:$H)</f>
        <v>-3.839999999999999E-2</v>
      </c>
    </row>
    <row r="53" spans="1:18" x14ac:dyDescent="0.3">
      <c r="A53">
        <v>400021446</v>
      </c>
      <c r="B53" t="s">
        <v>69</v>
      </c>
      <c r="C53" t="s">
        <v>23</v>
      </c>
      <c r="D53" t="s">
        <v>28</v>
      </c>
      <c r="E53" t="s">
        <v>18</v>
      </c>
      <c r="F53">
        <v>1</v>
      </c>
      <c r="G53">
        <v>-262.83999999999997</v>
      </c>
      <c r="H53">
        <v>0</v>
      </c>
      <c r="I53">
        <v>0</v>
      </c>
      <c r="J53">
        <v>0</v>
      </c>
      <c r="K53">
        <v>0</v>
      </c>
      <c r="L53">
        <v>-1.851</v>
      </c>
      <c r="M53">
        <v>1</v>
      </c>
      <c r="N53">
        <v>0</v>
      </c>
      <c r="O53">
        <f>_xlfn.XLOOKUP(C53,Squad_Team_Summary!$A:$A,Squad_Team_Summary!$D:$D)-_xlfn.XLOOKUP(D53,Squad_Team_Summary!$A:$A,Squad_Team_Summary!$D:$D)</f>
        <v>-21.884599999999995</v>
      </c>
      <c r="P53">
        <f>_xlfn.XLOOKUP(C53,Squad_Team_Summary!$A:$A,Squad_Team_Summary!$E:$E)-_xlfn.XLOOKUP(D53,Squad_Team_Summary!$A:$A,Squad_Team_Summary!$E:$E)</f>
        <v>-1.4230000000000005</v>
      </c>
      <c r="Q53">
        <f>_xlfn.XLOOKUP(C53,Squad_Team_Summary!$A:$A,Squad_Team_Summary!$F:$F)-_xlfn.XLOOKUP(D53,Squad_Team_Summary!$A:$A,Squad_Team_Summary!$F:$F)</f>
        <v>1.846100000000007</v>
      </c>
      <c r="R53">
        <f>_xlfn.XLOOKUP(C53,Squad_Team_Summary!$A:$A,Squad_Team_Summary!$H:$H)-_xlfn.XLOOKUP(D53,Squad_Team_Summary!$A:$A,Squad_Team_Summary!$H:$H)</f>
        <v>3.839999999999999E-2</v>
      </c>
    </row>
    <row r="54" spans="1:18" x14ac:dyDescent="0.3">
      <c r="A54">
        <v>400021450</v>
      </c>
      <c r="B54" t="s">
        <v>69</v>
      </c>
      <c r="C54" t="s">
        <v>22</v>
      </c>
      <c r="D54" t="s">
        <v>27</v>
      </c>
      <c r="E54" t="s">
        <v>17</v>
      </c>
      <c r="F54">
        <v>6</v>
      </c>
      <c r="G54">
        <v>109.17</v>
      </c>
      <c r="H54">
        <v>1</v>
      </c>
      <c r="I54">
        <v>0</v>
      </c>
      <c r="J54">
        <v>0</v>
      </c>
      <c r="K54">
        <v>0</v>
      </c>
      <c r="L54">
        <v>-2.5350000000000001</v>
      </c>
      <c r="M54">
        <v>1</v>
      </c>
      <c r="N54">
        <v>0</v>
      </c>
      <c r="O54">
        <f>_xlfn.XLOOKUP(C54,Squad_Team_Summary!$A:$A,Squad_Team_Summary!$D:$D)-_xlfn.XLOOKUP(D54,Squad_Team_Summary!$A:$A,Squad_Team_Summary!$D:$D)</f>
        <v>-22.346200000000003</v>
      </c>
      <c r="P54">
        <f>_xlfn.XLOOKUP(C54,Squad_Team_Summary!$A:$A,Squad_Team_Summary!$E:$E)-_xlfn.XLOOKUP(D54,Squad_Team_Summary!$A:$A,Squad_Team_Summary!$E:$E)</f>
        <v>-2.9230999999999998</v>
      </c>
      <c r="Q54">
        <f>_xlfn.XLOOKUP(C54,Squad_Team_Summary!$A:$A,Squad_Team_Summary!$F:$F)-_xlfn.XLOOKUP(D54,Squad_Team_Summary!$A:$A,Squad_Team_Summary!$F:$F)</f>
        <v>2.9231000000000051</v>
      </c>
      <c r="R54">
        <f>_xlfn.XLOOKUP(C54,Squad_Team_Summary!$A:$A,Squad_Team_Summary!$H:$H)-_xlfn.XLOOKUP(D54,Squad_Team_Summary!$A:$A,Squad_Team_Summary!$H:$H)</f>
        <v>0.88460000000000005</v>
      </c>
    </row>
    <row r="55" spans="1:18" x14ac:dyDescent="0.3">
      <c r="A55">
        <v>400021450</v>
      </c>
      <c r="B55" t="s">
        <v>69</v>
      </c>
      <c r="C55" t="s">
        <v>27</v>
      </c>
      <c r="D55" t="s">
        <v>22</v>
      </c>
      <c r="E55" t="s">
        <v>18</v>
      </c>
      <c r="F55">
        <v>0</v>
      </c>
      <c r="G55">
        <v>-109.17</v>
      </c>
      <c r="H55">
        <v>-1</v>
      </c>
      <c r="I55">
        <v>0</v>
      </c>
      <c r="J55">
        <v>0</v>
      </c>
      <c r="K55">
        <v>0</v>
      </c>
      <c r="L55">
        <v>2.5350000000000001</v>
      </c>
      <c r="M55">
        <v>-1</v>
      </c>
      <c r="N55">
        <v>0</v>
      </c>
      <c r="O55">
        <f>_xlfn.XLOOKUP(C55,Squad_Team_Summary!$A:$A,Squad_Team_Summary!$D:$D)-_xlfn.XLOOKUP(D55,Squad_Team_Summary!$A:$A,Squad_Team_Summary!$D:$D)</f>
        <v>22.346200000000003</v>
      </c>
      <c r="P55">
        <f>_xlfn.XLOOKUP(C55,Squad_Team_Summary!$A:$A,Squad_Team_Summary!$E:$E)-_xlfn.XLOOKUP(D55,Squad_Team_Summary!$A:$A,Squad_Team_Summary!$E:$E)</f>
        <v>2.9230999999999998</v>
      </c>
      <c r="Q55">
        <f>_xlfn.XLOOKUP(C55,Squad_Team_Summary!$A:$A,Squad_Team_Summary!$F:$F)-_xlfn.XLOOKUP(D55,Squad_Team_Summary!$A:$A,Squad_Team_Summary!$F:$F)</f>
        <v>-2.9231000000000051</v>
      </c>
      <c r="R55">
        <f>_xlfn.XLOOKUP(C55,Squad_Team_Summary!$A:$A,Squad_Team_Summary!$H:$H)-_xlfn.XLOOKUP(D55,Squad_Team_Summary!$A:$A,Squad_Team_Summary!$H:$H)</f>
        <v>-0.88460000000000005</v>
      </c>
    </row>
    <row r="56" spans="1:18" x14ac:dyDescent="0.3">
      <c r="A56">
        <v>400021442</v>
      </c>
      <c r="B56" t="s">
        <v>72</v>
      </c>
      <c r="C56" t="s">
        <v>15</v>
      </c>
      <c r="D56" t="s">
        <v>20</v>
      </c>
      <c r="E56" t="s">
        <v>17</v>
      </c>
      <c r="F56">
        <v>1</v>
      </c>
      <c r="G56">
        <v>95.85</v>
      </c>
      <c r="H56">
        <v>1</v>
      </c>
      <c r="I56">
        <v>0</v>
      </c>
      <c r="J56">
        <v>-0.5</v>
      </c>
      <c r="K56">
        <v>0</v>
      </c>
      <c r="L56">
        <v>-0.16500000000000001</v>
      </c>
      <c r="M56">
        <v>0</v>
      </c>
      <c r="N56">
        <v>0</v>
      </c>
      <c r="O56">
        <f>_xlfn.XLOOKUP(C56,Squad_Team_Summary!$A:$A,Squad_Team_Summary!$D:$D)-_xlfn.XLOOKUP(D56,Squad_Team_Summary!$A:$A,Squad_Team_Summary!$D:$D)</f>
        <v>11.346199999999996</v>
      </c>
      <c r="P56">
        <f>_xlfn.XLOOKUP(C56,Squad_Team_Summary!$A:$A,Squad_Team_Summary!$E:$E)-_xlfn.XLOOKUP(D56,Squad_Team_Summary!$A:$A,Squad_Team_Summary!$E:$E)</f>
        <v>-0.65390000000000015</v>
      </c>
      <c r="Q56">
        <f>_xlfn.XLOOKUP(C56,Squad_Team_Summary!$A:$A,Squad_Team_Summary!$F:$F)-_xlfn.XLOOKUP(D56,Squad_Team_Summary!$A:$A,Squad_Team_Summary!$F:$F)</f>
        <v>-2.4231000000000051</v>
      </c>
      <c r="R56">
        <f>_xlfn.XLOOKUP(C56,Squad_Team_Summary!$A:$A,Squad_Team_Summary!$H:$H)-_xlfn.XLOOKUP(D56,Squad_Team_Summary!$A:$A,Squad_Team_Summary!$H:$H)</f>
        <v>-0.19230000000000003</v>
      </c>
    </row>
    <row r="57" spans="1:18" x14ac:dyDescent="0.3">
      <c r="A57">
        <v>400021442</v>
      </c>
      <c r="B57" t="s">
        <v>72</v>
      </c>
      <c r="C57" t="s">
        <v>20</v>
      </c>
      <c r="D57" t="s">
        <v>15</v>
      </c>
      <c r="E57" t="s">
        <v>18</v>
      </c>
      <c r="F57">
        <v>0</v>
      </c>
      <c r="G57">
        <v>-95.85</v>
      </c>
      <c r="H57">
        <v>-1</v>
      </c>
      <c r="I57">
        <v>0</v>
      </c>
      <c r="J57">
        <v>0.5</v>
      </c>
      <c r="K57">
        <v>0</v>
      </c>
      <c r="L57">
        <v>0.16500000000000001</v>
      </c>
      <c r="M57">
        <v>0</v>
      </c>
      <c r="N57">
        <v>0</v>
      </c>
      <c r="O57">
        <f>_xlfn.XLOOKUP(C57,Squad_Team_Summary!$A:$A,Squad_Team_Summary!$D:$D)-_xlfn.XLOOKUP(D57,Squad_Team_Summary!$A:$A,Squad_Team_Summary!$D:$D)</f>
        <v>-11.346199999999996</v>
      </c>
      <c r="P57">
        <f>_xlfn.XLOOKUP(C57,Squad_Team_Summary!$A:$A,Squad_Team_Summary!$E:$E)-_xlfn.XLOOKUP(D57,Squad_Team_Summary!$A:$A,Squad_Team_Summary!$E:$E)</f>
        <v>0.65390000000000015</v>
      </c>
      <c r="Q57">
        <f>_xlfn.XLOOKUP(C57,Squad_Team_Summary!$A:$A,Squad_Team_Summary!$F:$F)-_xlfn.XLOOKUP(D57,Squad_Team_Summary!$A:$A,Squad_Team_Summary!$F:$F)</f>
        <v>2.4231000000000051</v>
      </c>
      <c r="R57">
        <f>_xlfn.XLOOKUP(C57,Squad_Team_Summary!$A:$A,Squad_Team_Summary!$H:$H)-_xlfn.XLOOKUP(D57,Squad_Team_Summary!$A:$A,Squad_Team_Summary!$H:$H)</f>
        <v>0.19230000000000003</v>
      </c>
    </row>
    <row r="58" spans="1:18" x14ac:dyDescent="0.3">
      <c r="A58">
        <v>400021462</v>
      </c>
      <c r="B58" t="s">
        <v>72</v>
      </c>
      <c r="C58" t="s">
        <v>25</v>
      </c>
      <c r="D58" t="s">
        <v>34</v>
      </c>
      <c r="E58" t="s">
        <v>17</v>
      </c>
      <c r="F58">
        <v>2</v>
      </c>
      <c r="G58">
        <v>91.89</v>
      </c>
      <c r="H58">
        <v>1</v>
      </c>
      <c r="I58">
        <v>1</v>
      </c>
      <c r="J58">
        <v>0.5</v>
      </c>
      <c r="K58">
        <v>0</v>
      </c>
      <c r="L58">
        <v>-0.45400000000000001</v>
      </c>
      <c r="M58">
        <v>1</v>
      </c>
      <c r="N58">
        <v>0</v>
      </c>
      <c r="O58">
        <f>_xlfn.XLOOKUP(C58,Squad_Team_Summary!$A:$A,Squad_Team_Summary!$D:$D)-_xlfn.XLOOKUP(D58,Squad_Team_Summary!$A:$A,Squad_Team_Summary!$D:$D)</f>
        <v>9.2692000000000014</v>
      </c>
      <c r="P58">
        <f>_xlfn.XLOOKUP(C58,Squad_Team_Summary!$A:$A,Squad_Team_Summary!$E:$E)-_xlfn.XLOOKUP(D58,Squad_Team_Summary!$A:$A,Squad_Team_Summary!$E:$E)</f>
        <v>2.2692000000000005</v>
      </c>
      <c r="Q58">
        <f>_xlfn.XLOOKUP(C58,Squad_Team_Summary!$A:$A,Squad_Team_Summary!$F:$F)-_xlfn.XLOOKUP(D58,Squad_Team_Summary!$A:$A,Squad_Team_Summary!$F:$F)</f>
        <v>-0.19229999999998881</v>
      </c>
      <c r="R58">
        <f>_xlfn.XLOOKUP(C58,Squad_Team_Summary!$A:$A,Squad_Team_Summary!$H:$H)-_xlfn.XLOOKUP(D58,Squad_Team_Summary!$A:$A,Squad_Team_Summary!$H:$H)</f>
        <v>-7.6899999999999968E-2</v>
      </c>
    </row>
    <row r="59" spans="1:18" x14ac:dyDescent="0.3">
      <c r="A59">
        <v>400021462</v>
      </c>
      <c r="B59" t="s">
        <v>72</v>
      </c>
      <c r="C59" t="s">
        <v>34</v>
      </c>
      <c r="D59" t="s">
        <v>25</v>
      </c>
      <c r="E59" t="s">
        <v>18</v>
      </c>
      <c r="F59">
        <v>0</v>
      </c>
      <c r="G59">
        <v>-91.89</v>
      </c>
      <c r="H59">
        <v>-1</v>
      </c>
      <c r="I59">
        <v>-1</v>
      </c>
      <c r="J59">
        <v>-0.5</v>
      </c>
      <c r="K59">
        <v>0</v>
      </c>
      <c r="L59">
        <v>0.45400000000000001</v>
      </c>
      <c r="M59">
        <v>-1</v>
      </c>
      <c r="N59">
        <v>0</v>
      </c>
      <c r="O59">
        <f>_xlfn.XLOOKUP(C59,Squad_Team_Summary!$A:$A,Squad_Team_Summary!$D:$D)-_xlfn.XLOOKUP(D59,Squad_Team_Summary!$A:$A,Squad_Team_Summary!$D:$D)</f>
        <v>-9.2692000000000014</v>
      </c>
      <c r="P59">
        <f>_xlfn.XLOOKUP(C59,Squad_Team_Summary!$A:$A,Squad_Team_Summary!$E:$E)-_xlfn.XLOOKUP(D59,Squad_Team_Summary!$A:$A,Squad_Team_Summary!$E:$E)</f>
        <v>-2.2692000000000005</v>
      </c>
      <c r="Q59">
        <f>_xlfn.XLOOKUP(C59,Squad_Team_Summary!$A:$A,Squad_Team_Summary!$F:$F)-_xlfn.XLOOKUP(D59,Squad_Team_Summary!$A:$A,Squad_Team_Summary!$F:$F)</f>
        <v>0.19229999999998881</v>
      </c>
      <c r="R59">
        <f>_xlfn.XLOOKUP(C59,Squad_Team_Summary!$A:$A,Squad_Team_Summary!$H:$H)-_xlfn.XLOOKUP(D59,Squad_Team_Summary!$A:$A,Squad_Team_Summary!$H:$H)</f>
        <v>7.6899999999999968E-2</v>
      </c>
    </row>
    <row r="60" spans="1:18" x14ac:dyDescent="0.3">
      <c r="A60">
        <v>400021454</v>
      </c>
      <c r="B60" t="s">
        <v>72</v>
      </c>
      <c r="C60" t="s">
        <v>33</v>
      </c>
      <c r="D60" t="s">
        <v>30</v>
      </c>
      <c r="E60" t="s">
        <v>17</v>
      </c>
      <c r="F60">
        <v>0</v>
      </c>
      <c r="G60">
        <v>-251.76</v>
      </c>
      <c r="H60">
        <v>0</v>
      </c>
      <c r="I60">
        <v>0</v>
      </c>
      <c r="J60">
        <v>-0.5</v>
      </c>
      <c r="K60">
        <v>1</v>
      </c>
      <c r="L60">
        <v>2.6030000000000002</v>
      </c>
      <c r="M60">
        <v>-1</v>
      </c>
      <c r="N60">
        <v>1</v>
      </c>
      <c r="O60">
        <f>_xlfn.XLOOKUP(C60,Squad_Team_Summary!$A:$A,Squad_Team_Summary!$D:$D)-_xlfn.XLOOKUP(D60,Squad_Team_Summary!$A:$A,Squad_Team_Summary!$D:$D)</f>
        <v>8.4229999999999983</v>
      </c>
      <c r="P60">
        <f>_xlfn.XLOOKUP(C60,Squad_Team_Summary!$A:$A,Squad_Team_Summary!$E:$E)-_xlfn.XLOOKUP(D60,Squad_Team_Summary!$A:$A,Squad_Team_Summary!$E:$E)</f>
        <v>-0.38460000000000027</v>
      </c>
      <c r="Q60">
        <f>_xlfn.XLOOKUP(C60,Squad_Team_Summary!$A:$A,Squad_Team_Summary!$F:$F)-_xlfn.XLOOKUP(D60,Squad_Team_Summary!$A:$A,Squad_Team_Summary!$F:$F)</f>
        <v>2.0768999999999949</v>
      </c>
      <c r="R60">
        <f>_xlfn.XLOOKUP(C60,Squad_Team_Summary!$A:$A,Squad_Team_Summary!$H:$H)-_xlfn.XLOOKUP(D60,Squad_Team_Summary!$A:$A,Squad_Team_Summary!$H:$H)</f>
        <v>-0.23080000000000001</v>
      </c>
    </row>
    <row r="61" spans="1:18" x14ac:dyDescent="0.3">
      <c r="A61">
        <v>400021454</v>
      </c>
      <c r="B61" t="s">
        <v>72</v>
      </c>
      <c r="C61" t="s">
        <v>30</v>
      </c>
      <c r="D61" t="s">
        <v>33</v>
      </c>
      <c r="E61" t="s">
        <v>18</v>
      </c>
      <c r="F61">
        <v>1</v>
      </c>
      <c r="G61">
        <v>251.76</v>
      </c>
      <c r="H61">
        <v>0</v>
      </c>
      <c r="I61">
        <v>0</v>
      </c>
      <c r="J61">
        <v>0.5</v>
      </c>
      <c r="K61">
        <v>-1</v>
      </c>
      <c r="L61">
        <v>-2.6030000000000002</v>
      </c>
      <c r="M61">
        <v>1</v>
      </c>
      <c r="N61">
        <v>-1</v>
      </c>
      <c r="O61">
        <f>_xlfn.XLOOKUP(C61,Squad_Team_Summary!$A:$A,Squad_Team_Summary!$D:$D)-_xlfn.XLOOKUP(D61,Squad_Team_Summary!$A:$A,Squad_Team_Summary!$D:$D)</f>
        <v>-8.4229999999999983</v>
      </c>
      <c r="P61">
        <f>_xlfn.XLOOKUP(C61,Squad_Team_Summary!$A:$A,Squad_Team_Summary!$E:$E)-_xlfn.XLOOKUP(D61,Squad_Team_Summary!$A:$A,Squad_Team_Summary!$E:$E)</f>
        <v>0.38460000000000027</v>
      </c>
      <c r="Q61">
        <f>_xlfn.XLOOKUP(C61,Squad_Team_Summary!$A:$A,Squad_Team_Summary!$F:$F)-_xlfn.XLOOKUP(D61,Squad_Team_Summary!$A:$A,Squad_Team_Summary!$F:$F)</f>
        <v>-2.0768999999999949</v>
      </c>
      <c r="R61">
        <f>_xlfn.XLOOKUP(C61,Squad_Team_Summary!$A:$A,Squad_Team_Summary!$H:$H)-_xlfn.XLOOKUP(D61,Squad_Team_Summary!$A:$A,Squad_Team_Summary!$H:$H)</f>
        <v>0.23080000000000001</v>
      </c>
    </row>
    <row r="62" spans="1:18" x14ac:dyDescent="0.3">
      <c r="A62">
        <v>400021457</v>
      </c>
      <c r="B62" t="s">
        <v>73</v>
      </c>
      <c r="C62" t="s">
        <v>29</v>
      </c>
      <c r="D62" t="s">
        <v>32</v>
      </c>
      <c r="E62" t="s">
        <v>17</v>
      </c>
      <c r="F62">
        <v>3</v>
      </c>
      <c r="G62">
        <v>472.76</v>
      </c>
      <c r="H62">
        <v>0</v>
      </c>
      <c r="I62">
        <v>0.5</v>
      </c>
      <c r="J62">
        <v>0</v>
      </c>
      <c r="K62">
        <v>0.5</v>
      </c>
      <c r="L62">
        <v>1.855</v>
      </c>
      <c r="M62">
        <v>1</v>
      </c>
      <c r="N62">
        <v>1</v>
      </c>
      <c r="O62">
        <f>_xlfn.XLOOKUP(C62,Squad_Team_Summary!$A:$A,Squad_Team_Summary!$D:$D)-_xlfn.XLOOKUP(D62,Squad_Team_Summary!$A:$A,Squad_Team_Summary!$D:$D)</f>
        <v>12.269300000000001</v>
      </c>
      <c r="P62">
        <f>_xlfn.XLOOKUP(C62,Squad_Team_Summary!$A:$A,Squad_Team_Summary!$E:$E)-_xlfn.XLOOKUP(D62,Squad_Team_Summary!$A:$A,Squad_Team_Summary!$E:$E)</f>
        <v>1.7693000000000003</v>
      </c>
      <c r="Q62">
        <f>_xlfn.XLOOKUP(C62,Squad_Team_Summary!$A:$A,Squad_Team_Summary!$F:$F)-_xlfn.XLOOKUP(D62,Squad_Team_Summary!$A:$A,Squad_Team_Summary!$F:$F)</f>
        <v>1.5384999999999991</v>
      </c>
      <c r="R62">
        <f>_xlfn.XLOOKUP(C62,Squad_Team_Summary!$A:$A,Squad_Team_Summary!$H:$H)-_xlfn.XLOOKUP(D62,Squad_Team_Summary!$A:$A,Squad_Team_Summary!$H:$H)</f>
        <v>-0.23070000000000002</v>
      </c>
    </row>
    <row r="63" spans="1:18" x14ac:dyDescent="0.3">
      <c r="A63">
        <v>400021457</v>
      </c>
      <c r="B63" t="s">
        <v>73</v>
      </c>
      <c r="C63" t="s">
        <v>32</v>
      </c>
      <c r="D63" t="s">
        <v>29</v>
      </c>
      <c r="E63" t="s">
        <v>18</v>
      </c>
      <c r="F63">
        <v>0</v>
      </c>
      <c r="G63">
        <v>-472.76</v>
      </c>
      <c r="H63">
        <v>0</v>
      </c>
      <c r="I63">
        <v>-0.5</v>
      </c>
      <c r="J63">
        <v>0</v>
      </c>
      <c r="K63">
        <v>-0.5</v>
      </c>
      <c r="L63">
        <v>-1.855</v>
      </c>
      <c r="M63">
        <v>-1</v>
      </c>
      <c r="N63">
        <v>-1</v>
      </c>
      <c r="O63">
        <f>_xlfn.XLOOKUP(C63,Squad_Team_Summary!$A:$A,Squad_Team_Summary!$D:$D)-_xlfn.XLOOKUP(D63,Squad_Team_Summary!$A:$A,Squad_Team_Summary!$D:$D)</f>
        <v>-12.269300000000001</v>
      </c>
      <c r="P63">
        <f>_xlfn.XLOOKUP(C63,Squad_Team_Summary!$A:$A,Squad_Team_Summary!$E:$E)-_xlfn.XLOOKUP(D63,Squad_Team_Summary!$A:$A,Squad_Team_Summary!$E:$E)</f>
        <v>-1.7693000000000003</v>
      </c>
      <c r="Q63">
        <f>_xlfn.XLOOKUP(C63,Squad_Team_Summary!$A:$A,Squad_Team_Summary!$F:$F)-_xlfn.XLOOKUP(D63,Squad_Team_Summary!$A:$A,Squad_Team_Summary!$F:$F)</f>
        <v>-1.5384999999999991</v>
      </c>
      <c r="R63">
        <f>_xlfn.XLOOKUP(C63,Squad_Team_Summary!$A:$A,Squad_Team_Summary!$H:$H)-_xlfn.XLOOKUP(D63,Squad_Team_Summary!$A:$A,Squad_Team_Summary!$H:$H)</f>
        <v>0.23070000000000002</v>
      </c>
    </row>
    <row r="64" spans="1:18" x14ac:dyDescent="0.3">
      <c r="A64">
        <v>400021460</v>
      </c>
      <c r="B64" t="s">
        <v>73</v>
      </c>
      <c r="C64" t="s">
        <v>35</v>
      </c>
      <c r="D64" t="s">
        <v>26</v>
      </c>
      <c r="E64" t="s">
        <v>17</v>
      </c>
      <c r="F64">
        <v>0</v>
      </c>
      <c r="G64">
        <v>100.38</v>
      </c>
      <c r="H64">
        <v>0</v>
      </c>
      <c r="I64">
        <v>-0.5</v>
      </c>
      <c r="J64">
        <v>-1</v>
      </c>
      <c r="K64">
        <v>0</v>
      </c>
      <c r="L64">
        <v>-1.33</v>
      </c>
      <c r="M64">
        <v>-1</v>
      </c>
      <c r="N64">
        <v>0</v>
      </c>
      <c r="O64">
        <f>_xlfn.XLOOKUP(C64,Squad_Team_Summary!$A:$A,Squad_Team_Summary!$D:$D)-_xlfn.XLOOKUP(D64,Squad_Team_Summary!$A:$A,Squad_Team_Summary!$D:$D)</f>
        <v>9.6922999999999995</v>
      </c>
      <c r="P64">
        <f>_xlfn.XLOOKUP(C64,Squad_Team_Summary!$A:$A,Squad_Team_Summary!$E:$E)-_xlfn.XLOOKUP(D64,Squad_Team_Summary!$A:$A,Squad_Team_Summary!$E:$E)</f>
        <v>1.6924000000000001</v>
      </c>
      <c r="Q64">
        <f>_xlfn.XLOOKUP(C64,Squad_Team_Summary!$A:$A,Squad_Team_Summary!$F:$F)-_xlfn.XLOOKUP(D64,Squad_Team_Summary!$A:$A,Squad_Team_Summary!$F:$F)</f>
        <v>2.1538000000000181</v>
      </c>
      <c r="R64">
        <f>_xlfn.XLOOKUP(C64,Squad_Team_Summary!$A:$A,Squad_Team_Summary!$H:$H)-_xlfn.XLOOKUP(D64,Squad_Team_Summary!$A:$A,Squad_Team_Summary!$H:$H)</f>
        <v>-0.46150000000000008</v>
      </c>
    </row>
    <row r="65" spans="1:18" x14ac:dyDescent="0.3">
      <c r="A65">
        <v>400021460</v>
      </c>
      <c r="B65" t="s">
        <v>73</v>
      </c>
      <c r="C65" t="s">
        <v>26</v>
      </c>
      <c r="D65" t="s">
        <v>35</v>
      </c>
      <c r="E65" t="s">
        <v>18</v>
      </c>
      <c r="F65">
        <v>1</v>
      </c>
      <c r="G65">
        <v>-100.38</v>
      </c>
      <c r="H65">
        <v>0</v>
      </c>
      <c r="I65">
        <v>0.5</v>
      </c>
      <c r="J65">
        <v>1</v>
      </c>
      <c r="K65">
        <v>0</v>
      </c>
      <c r="L65">
        <v>1.33</v>
      </c>
      <c r="M65">
        <v>1</v>
      </c>
      <c r="N65">
        <v>0</v>
      </c>
      <c r="O65">
        <f>_xlfn.XLOOKUP(C65,Squad_Team_Summary!$A:$A,Squad_Team_Summary!$D:$D)-_xlfn.XLOOKUP(D65,Squad_Team_Summary!$A:$A,Squad_Team_Summary!$D:$D)</f>
        <v>-9.6922999999999995</v>
      </c>
      <c r="P65">
        <f>_xlfn.XLOOKUP(C65,Squad_Team_Summary!$A:$A,Squad_Team_Summary!$E:$E)-_xlfn.XLOOKUP(D65,Squad_Team_Summary!$A:$A,Squad_Team_Summary!$E:$E)</f>
        <v>-1.6924000000000001</v>
      </c>
      <c r="Q65">
        <f>_xlfn.XLOOKUP(C65,Squad_Team_Summary!$A:$A,Squad_Team_Summary!$F:$F)-_xlfn.XLOOKUP(D65,Squad_Team_Summary!$A:$A,Squad_Team_Summary!$F:$F)</f>
        <v>-2.1538000000000181</v>
      </c>
      <c r="R65">
        <f>_xlfn.XLOOKUP(C65,Squad_Team_Summary!$A:$A,Squad_Team_Summary!$H:$H)-_xlfn.XLOOKUP(D65,Squad_Team_Summary!$A:$A,Squad_Team_Summary!$H:$H)</f>
        <v>0.46150000000000008</v>
      </c>
    </row>
    <row r="66" spans="1:18" x14ac:dyDescent="0.3">
      <c r="A66">
        <v>400021472</v>
      </c>
      <c r="B66" t="s">
        <v>73</v>
      </c>
      <c r="C66" t="s">
        <v>38</v>
      </c>
      <c r="D66" t="s">
        <v>43</v>
      </c>
      <c r="E66" t="s">
        <v>17</v>
      </c>
      <c r="F66">
        <v>5</v>
      </c>
      <c r="G66">
        <v>243.78</v>
      </c>
      <c r="H66">
        <v>0</v>
      </c>
      <c r="I66">
        <v>-1.5</v>
      </c>
      <c r="J66">
        <v>0.5</v>
      </c>
      <c r="K66">
        <v>-1</v>
      </c>
      <c r="L66">
        <v>0.217</v>
      </c>
      <c r="M66">
        <v>1</v>
      </c>
      <c r="N66">
        <v>0</v>
      </c>
      <c r="O66">
        <f>_xlfn.XLOOKUP(C66,Squad_Team_Summary!$A:$A,Squad_Team_Summary!$D:$D)-_xlfn.XLOOKUP(D66,Squad_Team_Summary!$A:$A,Squad_Team_Summary!$D:$D)</f>
        <v>13.3462</v>
      </c>
      <c r="P66">
        <f>_xlfn.XLOOKUP(C66,Squad_Team_Summary!$A:$A,Squad_Team_Summary!$E:$E)-_xlfn.XLOOKUP(D66,Squad_Team_Summary!$A:$A,Squad_Team_Summary!$E:$E)</f>
        <v>3.4999999999999996</v>
      </c>
      <c r="Q66">
        <f>_xlfn.XLOOKUP(C66,Squad_Team_Summary!$A:$A,Squad_Team_Summary!$F:$F)-_xlfn.XLOOKUP(D66,Squad_Team_Summary!$A:$A,Squad_Team_Summary!$F:$F)</f>
        <v>-1.0384999999999991</v>
      </c>
      <c r="R66">
        <f>_xlfn.XLOOKUP(C66,Squad_Team_Summary!$A:$A,Squad_Team_Summary!$H:$H)-_xlfn.XLOOKUP(D66,Squad_Team_Summary!$A:$A,Squad_Team_Summary!$H:$H)</f>
        <v>3.8499999999999979E-2</v>
      </c>
    </row>
    <row r="67" spans="1:18" x14ac:dyDescent="0.3">
      <c r="A67">
        <v>400021472</v>
      </c>
      <c r="B67" t="s">
        <v>73</v>
      </c>
      <c r="C67" t="s">
        <v>43</v>
      </c>
      <c r="D67" t="s">
        <v>38</v>
      </c>
      <c r="E67" t="s">
        <v>18</v>
      </c>
      <c r="F67">
        <v>1</v>
      </c>
      <c r="G67">
        <v>-243.78</v>
      </c>
      <c r="H67">
        <v>0</v>
      </c>
      <c r="I67">
        <v>1.5</v>
      </c>
      <c r="J67">
        <v>-0.5</v>
      </c>
      <c r="K67">
        <v>1</v>
      </c>
      <c r="L67">
        <v>-0.217</v>
      </c>
      <c r="M67">
        <v>-1</v>
      </c>
      <c r="N67">
        <v>0</v>
      </c>
      <c r="O67">
        <f>_xlfn.XLOOKUP(C67,Squad_Team_Summary!$A:$A,Squad_Team_Summary!$D:$D)-_xlfn.XLOOKUP(D67,Squad_Team_Summary!$A:$A,Squad_Team_Summary!$D:$D)</f>
        <v>-13.3462</v>
      </c>
      <c r="P67">
        <f>_xlfn.XLOOKUP(C67,Squad_Team_Summary!$A:$A,Squad_Team_Summary!$E:$E)-_xlfn.XLOOKUP(D67,Squad_Team_Summary!$A:$A,Squad_Team_Summary!$E:$E)</f>
        <v>-3.4999999999999996</v>
      </c>
      <c r="Q67">
        <f>_xlfn.XLOOKUP(C67,Squad_Team_Summary!$A:$A,Squad_Team_Summary!$F:$F)-_xlfn.XLOOKUP(D67,Squad_Team_Summary!$A:$A,Squad_Team_Summary!$F:$F)</f>
        <v>1.0384999999999991</v>
      </c>
      <c r="R67">
        <f>_xlfn.XLOOKUP(C67,Squad_Team_Summary!$A:$A,Squad_Team_Summary!$H:$H)-_xlfn.XLOOKUP(D67,Squad_Team_Summary!$A:$A,Squad_Team_Summary!$H:$H)</f>
        <v>-3.8499999999999979E-2</v>
      </c>
    </row>
    <row r="68" spans="1:18" x14ac:dyDescent="0.3">
      <c r="A68">
        <v>400021469</v>
      </c>
      <c r="B68" t="s">
        <v>73</v>
      </c>
      <c r="C68" t="s">
        <v>36</v>
      </c>
      <c r="D68" t="s">
        <v>40</v>
      </c>
      <c r="E68" t="s">
        <v>17</v>
      </c>
      <c r="F68">
        <v>2</v>
      </c>
      <c r="G68">
        <v>194.9</v>
      </c>
      <c r="H68">
        <v>0</v>
      </c>
      <c r="I68">
        <v>3</v>
      </c>
      <c r="J68">
        <v>0.5</v>
      </c>
      <c r="K68">
        <v>0</v>
      </c>
      <c r="L68">
        <v>2.198</v>
      </c>
      <c r="M68">
        <v>0</v>
      </c>
      <c r="N68">
        <v>1</v>
      </c>
      <c r="O68">
        <f>_xlfn.XLOOKUP(C68,Squad_Team_Summary!$A:$A,Squad_Team_Summary!$D:$D)-_xlfn.XLOOKUP(D68,Squad_Team_Summary!$A:$A,Squad_Team_Summary!$D:$D)</f>
        <v>5.3460999999999999</v>
      </c>
      <c r="P68">
        <f>_xlfn.XLOOKUP(C68,Squad_Team_Summary!$A:$A,Squad_Team_Summary!$E:$E)-_xlfn.XLOOKUP(D68,Squad_Team_Summary!$A:$A,Squad_Team_Summary!$E:$E)</f>
        <v>1.1153</v>
      </c>
      <c r="Q68">
        <f>_xlfn.XLOOKUP(C68,Squad_Team_Summary!$A:$A,Squad_Team_Summary!$F:$F)-_xlfn.XLOOKUP(D68,Squad_Team_Summary!$A:$A,Squad_Team_Summary!$F:$F)</f>
        <v>3.2691999999999837</v>
      </c>
      <c r="R68">
        <f>_xlfn.XLOOKUP(C68,Squad_Team_Summary!$A:$A,Squad_Team_Summary!$H:$H)-_xlfn.XLOOKUP(D68,Squad_Team_Summary!$A:$A,Squad_Team_Summary!$H:$H)</f>
        <v>-0.73080000000000001</v>
      </c>
    </row>
    <row r="69" spans="1:18" x14ac:dyDescent="0.3">
      <c r="A69">
        <v>400021469</v>
      </c>
      <c r="B69" t="s">
        <v>73</v>
      </c>
      <c r="C69" t="s">
        <v>40</v>
      </c>
      <c r="D69" t="s">
        <v>36</v>
      </c>
      <c r="E69" t="s">
        <v>18</v>
      </c>
      <c r="F69">
        <v>1</v>
      </c>
      <c r="G69">
        <v>-194.9</v>
      </c>
      <c r="H69">
        <v>0</v>
      </c>
      <c r="I69">
        <v>-3</v>
      </c>
      <c r="J69">
        <v>-0.5</v>
      </c>
      <c r="K69">
        <v>0</v>
      </c>
      <c r="L69">
        <v>-2.198</v>
      </c>
      <c r="M69">
        <v>0</v>
      </c>
      <c r="N69">
        <v>-1</v>
      </c>
      <c r="O69">
        <f>_xlfn.XLOOKUP(C69,Squad_Team_Summary!$A:$A,Squad_Team_Summary!$D:$D)-_xlfn.XLOOKUP(D69,Squad_Team_Summary!$A:$A,Squad_Team_Summary!$D:$D)</f>
        <v>-5.3460999999999999</v>
      </c>
      <c r="P69">
        <f>_xlfn.XLOOKUP(C69,Squad_Team_Summary!$A:$A,Squad_Team_Summary!$E:$E)-_xlfn.XLOOKUP(D69,Squad_Team_Summary!$A:$A,Squad_Team_Summary!$E:$E)</f>
        <v>-1.1153</v>
      </c>
      <c r="Q69">
        <f>_xlfn.XLOOKUP(C69,Squad_Team_Summary!$A:$A,Squad_Team_Summary!$F:$F)-_xlfn.XLOOKUP(D69,Squad_Team_Summary!$A:$A,Squad_Team_Summary!$F:$F)</f>
        <v>-3.2691999999999837</v>
      </c>
      <c r="R69">
        <f>_xlfn.XLOOKUP(C69,Squad_Team_Summary!$A:$A,Squad_Team_Summary!$H:$H)-_xlfn.XLOOKUP(D69,Squad_Team_Summary!$A:$A,Squad_Team_Summary!$H:$H)</f>
        <v>0.73080000000000001</v>
      </c>
    </row>
    <row r="70" spans="1:18" x14ac:dyDescent="0.3">
      <c r="A70">
        <v>400021465</v>
      </c>
      <c r="B70" t="s">
        <v>74</v>
      </c>
      <c r="C70" t="s">
        <v>41</v>
      </c>
      <c r="D70" t="s">
        <v>37</v>
      </c>
      <c r="E70" t="s">
        <v>17</v>
      </c>
      <c r="F70">
        <v>0</v>
      </c>
      <c r="G70">
        <v>303.75</v>
      </c>
      <c r="H70">
        <v>0</v>
      </c>
      <c r="I70">
        <v>-0.5</v>
      </c>
      <c r="J70">
        <v>-3</v>
      </c>
      <c r="K70">
        <v>0</v>
      </c>
      <c r="L70">
        <v>-1.9430000000000001</v>
      </c>
      <c r="M70">
        <v>0</v>
      </c>
      <c r="N70">
        <v>1</v>
      </c>
      <c r="O70">
        <f>_xlfn.XLOOKUP(C70,Squad_Team_Summary!$A:$A,Squad_Team_Summary!$D:$D)-_xlfn.XLOOKUP(D70,Squad_Team_Summary!$A:$A,Squad_Team_Summary!$D:$D)</f>
        <v>6.3461999999999996</v>
      </c>
      <c r="P70">
        <f>_xlfn.XLOOKUP(C70,Squad_Team_Summary!$A:$A,Squad_Team_Summary!$E:$E)-_xlfn.XLOOKUP(D70,Squad_Team_Summary!$A:$A,Squad_Team_Summary!$E:$E)</f>
        <v>0.88459999999999983</v>
      </c>
      <c r="Q70">
        <f>_xlfn.XLOOKUP(C70,Squad_Team_Summary!$A:$A,Squad_Team_Summary!$F:$F)-_xlfn.XLOOKUP(D70,Squad_Team_Summary!$A:$A,Squad_Team_Summary!$F:$F)</f>
        <v>-1.384600000000006</v>
      </c>
      <c r="R70">
        <f>_xlfn.XLOOKUP(C70,Squad_Team_Summary!$A:$A,Squad_Team_Summary!$H:$H)-_xlfn.XLOOKUP(D70,Squad_Team_Summary!$A:$A,Squad_Team_Summary!$H:$H)</f>
        <v>-7.6899999999999968E-2</v>
      </c>
    </row>
    <row r="71" spans="1:18" x14ac:dyDescent="0.3">
      <c r="A71">
        <v>400021465</v>
      </c>
      <c r="B71" t="s">
        <v>74</v>
      </c>
      <c r="C71" t="s">
        <v>37</v>
      </c>
      <c r="D71" t="s">
        <v>41</v>
      </c>
      <c r="E71" t="s">
        <v>18</v>
      </c>
      <c r="F71">
        <v>0</v>
      </c>
      <c r="G71">
        <v>-303.75</v>
      </c>
      <c r="H71">
        <v>0</v>
      </c>
      <c r="I71">
        <v>0.5</v>
      </c>
      <c r="J71">
        <v>3</v>
      </c>
      <c r="K71">
        <v>0</v>
      </c>
      <c r="L71">
        <v>1.9430000000000001</v>
      </c>
      <c r="M71">
        <v>0</v>
      </c>
      <c r="N71">
        <v>-1</v>
      </c>
      <c r="O71">
        <f>_xlfn.XLOOKUP(C71,Squad_Team_Summary!$A:$A,Squad_Team_Summary!$D:$D)-_xlfn.XLOOKUP(D71,Squad_Team_Summary!$A:$A,Squad_Team_Summary!$D:$D)</f>
        <v>-6.3461999999999996</v>
      </c>
      <c r="P71">
        <f>_xlfn.XLOOKUP(C71,Squad_Team_Summary!$A:$A,Squad_Team_Summary!$E:$E)-_xlfn.XLOOKUP(D71,Squad_Team_Summary!$A:$A,Squad_Team_Summary!$E:$E)</f>
        <v>-0.88459999999999983</v>
      </c>
      <c r="Q71">
        <f>_xlfn.XLOOKUP(C71,Squad_Team_Summary!$A:$A,Squad_Team_Summary!$F:$F)-_xlfn.XLOOKUP(D71,Squad_Team_Summary!$A:$A,Squad_Team_Summary!$F:$F)</f>
        <v>1.384600000000006</v>
      </c>
      <c r="R71">
        <f>_xlfn.XLOOKUP(C71,Squad_Team_Summary!$A:$A,Squad_Team_Summary!$H:$H)-_xlfn.XLOOKUP(D71,Squad_Team_Summary!$A:$A,Squad_Team_Summary!$H:$H)</f>
        <v>7.6899999999999968E-2</v>
      </c>
    </row>
    <row r="72" spans="1:18" x14ac:dyDescent="0.3">
      <c r="A72">
        <v>400021475</v>
      </c>
      <c r="B72" t="s">
        <v>74</v>
      </c>
      <c r="C72" t="s">
        <v>44</v>
      </c>
      <c r="D72" t="s">
        <v>39</v>
      </c>
      <c r="E72" t="s">
        <v>17</v>
      </c>
      <c r="F72">
        <v>0</v>
      </c>
      <c r="G72">
        <v>-185.17</v>
      </c>
      <c r="H72">
        <v>0</v>
      </c>
      <c r="I72">
        <v>-0.5</v>
      </c>
      <c r="J72">
        <v>1.5</v>
      </c>
      <c r="K72">
        <v>-0.5</v>
      </c>
      <c r="L72">
        <v>-0.85099999999999998</v>
      </c>
      <c r="M72">
        <v>-1</v>
      </c>
      <c r="N72">
        <v>0</v>
      </c>
      <c r="O72">
        <f>_xlfn.XLOOKUP(C72,Squad_Team_Summary!$A:$A,Squad_Team_Summary!$D:$D)-_xlfn.XLOOKUP(D72,Squad_Team_Summary!$A:$A,Squad_Team_Summary!$D:$D)</f>
        <v>-9.3461999999999996</v>
      </c>
      <c r="P72">
        <f>_xlfn.XLOOKUP(C72,Squad_Team_Summary!$A:$A,Squad_Team_Summary!$E:$E)-_xlfn.XLOOKUP(D72,Squad_Team_Summary!$A:$A,Squad_Team_Summary!$E:$E)</f>
        <v>-2.9230000000000005</v>
      </c>
      <c r="Q72">
        <f>_xlfn.XLOOKUP(C72,Squad_Team_Summary!$A:$A,Squad_Team_Summary!$F:$F)-_xlfn.XLOOKUP(D72,Squad_Team_Summary!$A:$A,Squad_Team_Summary!$F:$F)</f>
        <v>2.9615000000000009</v>
      </c>
      <c r="R72">
        <f>_xlfn.XLOOKUP(C72,Squad_Team_Summary!$A:$A,Squad_Team_Summary!$H:$H)-_xlfn.XLOOKUP(D72,Squad_Team_Summary!$A:$A,Squad_Team_Summary!$H:$H)</f>
        <v>-0.11540000000000006</v>
      </c>
    </row>
    <row r="73" spans="1:18" x14ac:dyDescent="0.3">
      <c r="A73">
        <v>400021475</v>
      </c>
      <c r="B73" t="s">
        <v>74</v>
      </c>
      <c r="C73" t="s">
        <v>39</v>
      </c>
      <c r="D73" t="s">
        <v>44</v>
      </c>
      <c r="E73" t="s">
        <v>18</v>
      </c>
      <c r="F73">
        <v>4</v>
      </c>
      <c r="G73">
        <v>185.17</v>
      </c>
      <c r="H73">
        <v>0</v>
      </c>
      <c r="I73">
        <v>0.5</v>
      </c>
      <c r="J73">
        <v>-1.5</v>
      </c>
      <c r="K73">
        <v>0.5</v>
      </c>
      <c r="L73">
        <v>0.85099999999999998</v>
      </c>
      <c r="M73">
        <v>1</v>
      </c>
      <c r="N73">
        <v>0</v>
      </c>
      <c r="O73">
        <f>_xlfn.XLOOKUP(C73,Squad_Team_Summary!$A:$A,Squad_Team_Summary!$D:$D)-_xlfn.XLOOKUP(D73,Squad_Team_Summary!$A:$A,Squad_Team_Summary!$D:$D)</f>
        <v>9.3461999999999996</v>
      </c>
      <c r="P73">
        <f>_xlfn.XLOOKUP(C73,Squad_Team_Summary!$A:$A,Squad_Team_Summary!$E:$E)-_xlfn.XLOOKUP(D73,Squad_Team_Summary!$A:$A,Squad_Team_Summary!$E:$E)</f>
        <v>2.9230000000000005</v>
      </c>
      <c r="Q73">
        <f>_xlfn.XLOOKUP(C73,Squad_Team_Summary!$A:$A,Squad_Team_Summary!$F:$F)-_xlfn.XLOOKUP(D73,Squad_Team_Summary!$A:$A,Squad_Team_Summary!$F:$F)</f>
        <v>-2.9615000000000009</v>
      </c>
      <c r="R73">
        <f>_xlfn.XLOOKUP(C73,Squad_Team_Summary!$A:$A,Squad_Team_Summary!$H:$H)-_xlfn.XLOOKUP(D73,Squad_Team_Summary!$A:$A,Squad_Team_Summary!$H:$H)</f>
        <v>0.11540000000000006</v>
      </c>
    </row>
    <row r="74" spans="1:18" x14ac:dyDescent="0.3">
      <c r="A74">
        <v>400021483</v>
      </c>
      <c r="B74" t="s">
        <v>74</v>
      </c>
      <c r="C74" t="s">
        <v>45</v>
      </c>
      <c r="D74" t="s">
        <v>49</v>
      </c>
      <c r="E74" t="s">
        <v>17</v>
      </c>
      <c r="F74">
        <v>4</v>
      </c>
      <c r="G74">
        <v>450.83</v>
      </c>
      <c r="H74">
        <v>0</v>
      </c>
      <c r="I74">
        <v>-0.5</v>
      </c>
      <c r="J74">
        <v>-0.5</v>
      </c>
      <c r="K74">
        <v>0</v>
      </c>
      <c r="L74">
        <v>-1.7689999999999999</v>
      </c>
      <c r="M74">
        <v>0</v>
      </c>
      <c r="N74">
        <v>1</v>
      </c>
      <c r="O74">
        <f>_xlfn.XLOOKUP(C74,Squad_Team_Summary!$A:$A,Squad_Team_Summary!$D:$D)-_xlfn.XLOOKUP(D74,Squad_Team_Summary!$A:$A,Squad_Team_Summary!$D:$D)</f>
        <v>-4.076900000000002</v>
      </c>
      <c r="P74">
        <f>_xlfn.XLOOKUP(C74,Squad_Team_Summary!$A:$A,Squad_Team_Summary!$E:$E)-_xlfn.XLOOKUP(D74,Squad_Team_Summary!$A:$A,Squad_Team_Summary!$E:$E)</f>
        <v>1.2692000000000001</v>
      </c>
      <c r="Q74">
        <f>_xlfn.XLOOKUP(C74,Squad_Team_Summary!$A:$A,Squad_Team_Summary!$F:$F)-_xlfn.XLOOKUP(D74,Squad_Team_Summary!$A:$A,Squad_Team_Summary!$F:$F)</f>
        <v>3.3076999999999828</v>
      </c>
      <c r="R74">
        <f>_xlfn.XLOOKUP(C74,Squad_Team_Summary!$A:$A,Squad_Team_Summary!$H:$H)-_xlfn.XLOOKUP(D74,Squad_Team_Summary!$A:$A,Squad_Team_Summary!$H:$H)</f>
        <v>0.30770000000000003</v>
      </c>
    </row>
    <row r="75" spans="1:18" x14ac:dyDescent="0.3">
      <c r="A75">
        <v>400021483</v>
      </c>
      <c r="B75" t="s">
        <v>74</v>
      </c>
      <c r="C75" t="s">
        <v>49</v>
      </c>
      <c r="D75" t="s">
        <v>45</v>
      </c>
      <c r="E75" t="s">
        <v>18</v>
      </c>
      <c r="F75">
        <v>0</v>
      </c>
      <c r="G75">
        <v>-450.83</v>
      </c>
      <c r="H75">
        <v>0</v>
      </c>
      <c r="I75">
        <v>0.5</v>
      </c>
      <c r="J75">
        <v>0.5</v>
      </c>
      <c r="K75">
        <v>0</v>
      </c>
      <c r="L75">
        <v>1.7689999999999999</v>
      </c>
      <c r="M75">
        <v>0</v>
      </c>
      <c r="N75">
        <v>-1</v>
      </c>
      <c r="O75">
        <f>_xlfn.XLOOKUP(C75,Squad_Team_Summary!$A:$A,Squad_Team_Summary!$D:$D)-_xlfn.XLOOKUP(D75,Squad_Team_Summary!$A:$A,Squad_Team_Summary!$D:$D)</f>
        <v>4.076900000000002</v>
      </c>
      <c r="P75">
        <f>_xlfn.XLOOKUP(C75,Squad_Team_Summary!$A:$A,Squad_Team_Summary!$E:$E)-_xlfn.XLOOKUP(D75,Squad_Team_Summary!$A:$A,Squad_Team_Summary!$E:$E)</f>
        <v>-1.2692000000000001</v>
      </c>
      <c r="Q75">
        <f>_xlfn.XLOOKUP(C75,Squad_Team_Summary!$A:$A,Squad_Team_Summary!$F:$F)-_xlfn.XLOOKUP(D75,Squad_Team_Summary!$A:$A,Squad_Team_Summary!$F:$F)</f>
        <v>-3.3076999999999828</v>
      </c>
      <c r="R75">
        <f>_xlfn.XLOOKUP(C75,Squad_Team_Summary!$A:$A,Squad_Team_Summary!$H:$H)-_xlfn.XLOOKUP(D75,Squad_Team_Summary!$A:$A,Squad_Team_Summary!$H:$H)</f>
        <v>-0.30770000000000003</v>
      </c>
    </row>
    <row r="76" spans="1:18" x14ac:dyDescent="0.3">
      <c r="A76">
        <v>400021477</v>
      </c>
      <c r="B76" t="s">
        <v>74</v>
      </c>
      <c r="C76" t="s">
        <v>47</v>
      </c>
      <c r="D76" t="s">
        <v>52</v>
      </c>
      <c r="E76" t="s">
        <v>17</v>
      </c>
      <c r="F76">
        <v>0</v>
      </c>
      <c r="G76">
        <v>122.66</v>
      </c>
      <c r="H76">
        <v>0</v>
      </c>
      <c r="I76">
        <v>-0.5</v>
      </c>
      <c r="J76">
        <v>-0.5</v>
      </c>
      <c r="K76">
        <v>0</v>
      </c>
      <c r="L76">
        <v>-2.718</v>
      </c>
      <c r="M76">
        <v>1</v>
      </c>
      <c r="N76">
        <v>1</v>
      </c>
      <c r="O76">
        <f>_xlfn.XLOOKUP(C76,Squad_Team_Summary!$A:$A,Squad_Team_Summary!$D:$D)-_xlfn.XLOOKUP(D76,Squad_Team_Summary!$A:$A,Squad_Team_Summary!$D:$D)</f>
        <v>-1.5</v>
      </c>
      <c r="P76">
        <f>_xlfn.XLOOKUP(C76,Squad_Team_Summary!$A:$A,Squad_Team_Summary!$E:$E)-_xlfn.XLOOKUP(D76,Squad_Team_Summary!$A:$A,Squad_Team_Summary!$E:$E)</f>
        <v>2.9231000000000007</v>
      </c>
      <c r="Q76">
        <f>_xlfn.XLOOKUP(C76,Squad_Team_Summary!$A:$A,Squad_Team_Summary!$F:$F)-_xlfn.XLOOKUP(D76,Squad_Team_Summary!$A:$A,Squad_Team_Summary!$F:$F)</f>
        <v>2.1539000000000215</v>
      </c>
      <c r="R76">
        <f>_xlfn.XLOOKUP(C76,Squad_Team_Summary!$A:$A,Squad_Team_Summary!$H:$H)-_xlfn.XLOOKUP(D76,Squad_Team_Summary!$A:$A,Squad_Team_Summary!$H:$H)</f>
        <v>0.53839999999999999</v>
      </c>
    </row>
    <row r="77" spans="1:18" x14ac:dyDescent="0.3">
      <c r="A77">
        <v>400021477</v>
      </c>
      <c r="B77" t="s">
        <v>74</v>
      </c>
      <c r="C77" t="s">
        <v>52</v>
      </c>
      <c r="D77" t="s">
        <v>47</v>
      </c>
      <c r="E77" t="s">
        <v>18</v>
      </c>
      <c r="F77">
        <v>0</v>
      </c>
      <c r="G77">
        <v>-122.66</v>
      </c>
      <c r="H77">
        <v>0</v>
      </c>
      <c r="I77">
        <v>0.5</v>
      </c>
      <c r="J77">
        <v>0.5</v>
      </c>
      <c r="K77">
        <v>0</v>
      </c>
      <c r="L77">
        <v>2.718</v>
      </c>
      <c r="M77">
        <v>-1</v>
      </c>
      <c r="N77">
        <v>-1</v>
      </c>
      <c r="O77">
        <f>_xlfn.XLOOKUP(C77,Squad_Team_Summary!$A:$A,Squad_Team_Summary!$D:$D)-_xlfn.XLOOKUP(D77,Squad_Team_Summary!$A:$A,Squad_Team_Summary!$D:$D)</f>
        <v>1.5</v>
      </c>
      <c r="P77">
        <f>_xlfn.XLOOKUP(C77,Squad_Team_Summary!$A:$A,Squad_Team_Summary!$E:$E)-_xlfn.XLOOKUP(D77,Squad_Team_Summary!$A:$A,Squad_Team_Summary!$E:$E)</f>
        <v>-2.9231000000000007</v>
      </c>
      <c r="Q77">
        <f>_xlfn.XLOOKUP(C77,Squad_Team_Summary!$A:$A,Squad_Team_Summary!$F:$F)-_xlfn.XLOOKUP(D77,Squad_Team_Summary!$A:$A,Squad_Team_Summary!$F:$F)</f>
        <v>-2.1539000000000215</v>
      </c>
      <c r="R77">
        <f>_xlfn.XLOOKUP(C77,Squad_Team_Summary!$A:$A,Squad_Team_Summary!$H:$H)-_xlfn.XLOOKUP(D77,Squad_Team_Summary!$A:$A,Squad_Team_Summary!$H:$H)</f>
        <v>-0.53839999999999999</v>
      </c>
    </row>
    <row r="78" spans="1:18" x14ac:dyDescent="0.3">
      <c r="A78">
        <v>400021487</v>
      </c>
      <c r="B78" t="s">
        <v>74</v>
      </c>
      <c r="C78" t="s">
        <v>50</v>
      </c>
      <c r="D78" t="s">
        <v>46</v>
      </c>
      <c r="E78" t="s">
        <v>17</v>
      </c>
      <c r="F78">
        <v>2</v>
      </c>
      <c r="G78">
        <v>301.95999999999998</v>
      </c>
      <c r="H78">
        <v>0</v>
      </c>
      <c r="I78">
        <v>0.5</v>
      </c>
      <c r="J78">
        <v>0.5</v>
      </c>
      <c r="K78">
        <v>0</v>
      </c>
      <c r="L78">
        <v>-0.93400000000000005</v>
      </c>
      <c r="M78">
        <v>0</v>
      </c>
      <c r="N78">
        <v>1</v>
      </c>
      <c r="O78">
        <f>_xlfn.XLOOKUP(C78,Squad_Team_Summary!$A:$A,Squad_Team_Summary!$D:$D)-_xlfn.XLOOKUP(D78,Squad_Team_Summary!$A:$A,Squad_Team_Summary!$D:$D)</f>
        <v>3.1537999999999968</v>
      </c>
      <c r="P78">
        <f>_xlfn.XLOOKUP(C78,Squad_Team_Summary!$A:$A,Squad_Team_Summary!$E:$E)-_xlfn.XLOOKUP(D78,Squad_Team_Summary!$A:$A,Squad_Team_Summary!$E:$E)</f>
        <v>-7.6999999999999957E-2</v>
      </c>
      <c r="Q78">
        <f>_xlfn.XLOOKUP(C78,Squad_Team_Summary!$A:$A,Squad_Team_Summary!$F:$F)-_xlfn.XLOOKUP(D78,Squad_Team_Summary!$A:$A,Squad_Team_Summary!$F:$F)</f>
        <v>-0.88470000000000937</v>
      </c>
      <c r="R78">
        <f>_xlfn.XLOOKUP(C78,Squad_Team_Summary!$A:$A,Squad_Team_Summary!$H:$H)-_xlfn.XLOOKUP(D78,Squad_Team_Summary!$A:$A,Squad_Team_Summary!$H:$H)</f>
        <v>0</v>
      </c>
    </row>
    <row r="79" spans="1:18" x14ac:dyDescent="0.3">
      <c r="A79">
        <v>400021487</v>
      </c>
      <c r="B79" t="s">
        <v>74</v>
      </c>
      <c r="C79" t="s">
        <v>46</v>
      </c>
      <c r="D79" t="s">
        <v>50</v>
      </c>
      <c r="E79" t="s">
        <v>18</v>
      </c>
      <c r="F79">
        <v>2</v>
      </c>
      <c r="G79">
        <v>-301.95999999999998</v>
      </c>
      <c r="H79">
        <v>0</v>
      </c>
      <c r="I79">
        <v>-0.5</v>
      </c>
      <c r="J79">
        <v>-0.5</v>
      </c>
      <c r="K79">
        <v>0</v>
      </c>
      <c r="L79">
        <v>0.93400000000000005</v>
      </c>
      <c r="M79">
        <v>0</v>
      </c>
      <c r="N79">
        <v>-1</v>
      </c>
      <c r="O79">
        <f>_xlfn.XLOOKUP(C79,Squad_Team_Summary!$A:$A,Squad_Team_Summary!$D:$D)-_xlfn.XLOOKUP(D79,Squad_Team_Summary!$A:$A,Squad_Team_Summary!$D:$D)</f>
        <v>-3.1537999999999968</v>
      </c>
      <c r="P79">
        <f>_xlfn.XLOOKUP(C79,Squad_Team_Summary!$A:$A,Squad_Team_Summary!$E:$E)-_xlfn.XLOOKUP(D79,Squad_Team_Summary!$A:$A,Squad_Team_Summary!$E:$E)</f>
        <v>7.6999999999999957E-2</v>
      </c>
      <c r="Q79">
        <f>_xlfn.XLOOKUP(C79,Squad_Team_Summary!$A:$A,Squad_Team_Summary!$F:$F)-_xlfn.XLOOKUP(D79,Squad_Team_Summary!$A:$A,Squad_Team_Summary!$F:$F)</f>
        <v>0.88470000000000937</v>
      </c>
      <c r="R79">
        <f>_xlfn.XLOOKUP(C79,Squad_Team_Summary!$A:$A,Squad_Team_Summary!$H:$H)-_xlfn.XLOOKUP(D79,Squad_Team_Summary!$A:$A,Squad_Team_Summary!$H:$H)</f>
        <v>0</v>
      </c>
    </row>
    <row r="80" spans="1:18" x14ac:dyDescent="0.3">
      <c r="A80">
        <v>400021480</v>
      </c>
      <c r="B80" t="s">
        <v>75</v>
      </c>
      <c r="C80" t="s">
        <v>53</v>
      </c>
      <c r="D80" t="s">
        <v>48</v>
      </c>
      <c r="E80" t="s">
        <v>17</v>
      </c>
      <c r="F80">
        <v>1</v>
      </c>
      <c r="G80">
        <v>-286.79000000000002</v>
      </c>
      <c r="H80">
        <v>0</v>
      </c>
      <c r="I80">
        <v>0.5</v>
      </c>
      <c r="J80">
        <v>0.5</v>
      </c>
      <c r="K80">
        <v>0</v>
      </c>
      <c r="L80">
        <v>-0.79200000000000004</v>
      </c>
      <c r="M80">
        <v>-1</v>
      </c>
      <c r="N80">
        <v>0</v>
      </c>
      <c r="O80">
        <f>_xlfn.XLOOKUP(C80,Squad_Team_Summary!$A:$A,Squad_Team_Summary!$D:$D)-_xlfn.XLOOKUP(D80,Squad_Team_Summary!$A:$A,Squad_Team_Summary!$D:$D)</f>
        <v>-1.1922999999999959</v>
      </c>
      <c r="P80">
        <f>_xlfn.XLOOKUP(C80,Squad_Team_Summary!$A:$A,Squad_Team_Summary!$E:$E)-_xlfn.XLOOKUP(D80,Squad_Team_Summary!$A:$A,Squad_Team_Summary!$E:$E)</f>
        <v>-1</v>
      </c>
      <c r="Q80">
        <f>_xlfn.XLOOKUP(C80,Squad_Team_Summary!$A:$A,Squad_Team_Summary!$F:$F)-_xlfn.XLOOKUP(D80,Squad_Team_Summary!$A:$A,Squad_Team_Summary!$F:$F)</f>
        <v>1.884600000000006</v>
      </c>
      <c r="R80">
        <f>_xlfn.XLOOKUP(C80,Squad_Team_Summary!$A:$A,Squad_Team_Summary!$H:$H)-_xlfn.XLOOKUP(D80,Squad_Team_Summary!$A:$A,Squad_Team_Summary!$H:$H)</f>
        <v>0.30760000000000004</v>
      </c>
    </row>
    <row r="81" spans="1:18" x14ac:dyDescent="0.3">
      <c r="A81">
        <v>400021480</v>
      </c>
      <c r="B81" t="s">
        <v>75</v>
      </c>
      <c r="C81" t="s">
        <v>48</v>
      </c>
      <c r="D81" t="s">
        <v>53</v>
      </c>
      <c r="E81" t="s">
        <v>18</v>
      </c>
      <c r="F81">
        <v>3</v>
      </c>
      <c r="G81">
        <v>286.79000000000002</v>
      </c>
      <c r="H81">
        <v>0</v>
      </c>
      <c r="I81">
        <v>-0.5</v>
      </c>
      <c r="J81">
        <v>-0.5</v>
      </c>
      <c r="K81">
        <v>0</v>
      </c>
      <c r="L81">
        <v>0.79200000000000004</v>
      </c>
      <c r="M81">
        <v>1</v>
      </c>
      <c r="N81">
        <v>0</v>
      </c>
      <c r="O81">
        <f>_xlfn.XLOOKUP(C81,Squad_Team_Summary!$A:$A,Squad_Team_Summary!$D:$D)-_xlfn.XLOOKUP(D81,Squad_Team_Summary!$A:$A,Squad_Team_Summary!$D:$D)</f>
        <v>1.1922999999999959</v>
      </c>
      <c r="P81">
        <f>_xlfn.XLOOKUP(C81,Squad_Team_Summary!$A:$A,Squad_Team_Summary!$E:$E)-_xlfn.XLOOKUP(D81,Squad_Team_Summary!$A:$A,Squad_Team_Summary!$E:$E)</f>
        <v>1</v>
      </c>
      <c r="Q81">
        <f>_xlfn.XLOOKUP(C81,Squad_Team_Summary!$A:$A,Squad_Team_Summary!$F:$F)-_xlfn.XLOOKUP(D81,Squad_Team_Summary!$A:$A,Squad_Team_Summary!$F:$F)</f>
        <v>-1.884600000000006</v>
      </c>
      <c r="R81">
        <f>_xlfn.XLOOKUP(C81,Squad_Team_Summary!$A:$A,Squad_Team_Summary!$H:$H)-_xlfn.XLOOKUP(D81,Squad_Team_Summary!$A:$A,Squad_Team_Summary!$H:$H)</f>
        <v>-0.30760000000000004</v>
      </c>
    </row>
    <row r="82" spans="1:18" x14ac:dyDescent="0.3">
      <c r="A82">
        <v>400021494</v>
      </c>
      <c r="B82" t="s">
        <v>75</v>
      </c>
      <c r="C82" t="s">
        <v>59</v>
      </c>
      <c r="D82" t="s">
        <v>61</v>
      </c>
      <c r="E82" t="s">
        <v>17</v>
      </c>
      <c r="F82">
        <v>2</v>
      </c>
      <c r="G82">
        <v>279.87</v>
      </c>
      <c r="H82">
        <v>0</v>
      </c>
      <c r="I82">
        <v>0</v>
      </c>
      <c r="J82">
        <v>-0.5</v>
      </c>
      <c r="K82">
        <v>0</v>
      </c>
      <c r="L82">
        <v>0.50700000000000001</v>
      </c>
      <c r="M82">
        <v>0</v>
      </c>
      <c r="N82">
        <v>0</v>
      </c>
      <c r="O82">
        <f>_xlfn.XLOOKUP(C82,Squad_Team_Summary!$A:$A,Squad_Team_Summary!$D:$D)-_xlfn.XLOOKUP(D82,Squad_Team_Summary!$A:$A,Squad_Team_Summary!$D:$D)</f>
        <v>12.038499999999999</v>
      </c>
      <c r="P82">
        <f>_xlfn.XLOOKUP(C82,Squad_Team_Summary!$A:$A,Squad_Team_Summary!$E:$E)-_xlfn.XLOOKUP(D82,Squad_Team_Summary!$A:$A,Squad_Team_Summary!$E:$E)</f>
        <v>3.3460999999999999</v>
      </c>
      <c r="Q82">
        <f>_xlfn.XLOOKUP(C82,Squad_Team_Summary!$A:$A,Squad_Team_Summary!$F:$F)-_xlfn.XLOOKUP(D82,Squad_Team_Summary!$A:$A,Squad_Team_Summary!$F:$F)</f>
        <v>-5.384600000000006</v>
      </c>
      <c r="R82">
        <f>_xlfn.XLOOKUP(C82,Squad_Team_Summary!$A:$A,Squad_Team_Summary!$H:$H)-_xlfn.XLOOKUP(D82,Squad_Team_Summary!$A:$A,Squad_Team_Summary!$H:$H)</f>
        <v>3.8499999999999979E-2</v>
      </c>
    </row>
    <row r="83" spans="1:18" x14ac:dyDescent="0.3">
      <c r="A83">
        <v>400021494</v>
      </c>
      <c r="B83" t="s">
        <v>75</v>
      </c>
      <c r="C83" t="s">
        <v>61</v>
      </c>
      <c r="D83" t="s">
        <v>59</v>
      </c>
      <c r="E83" t="s">
        <v>18</v>
      </c>
      <c r="F83">
        <v>0</v>
      </c>
      <c r="G83">
        <v>-279.87</v>
      </c>
      <c r="H83">
        <v>0</v>
      </c>
      <c r="I83">
        <v>0</v>
      </c>
      <c r="J83">
        <v>0.5</v>
      </c>
      <c r="K83">
        <v>0</v>
      </c>
      <c r="L83">
        <v>-0.50700000000000001</v>
      </c>
      <c r="M83">
        <v>0</v>
      </c>
      <c r="N83">
        <v>0</v>
      </c>
      <c r="O83">
        <f>_xlfn.XLOOKUP(C83,Squad_Team_Summary!$A:$A,Squad_Team_Summary!$D:$D)-_xlfn.XLOOKUP(D83,Squad_Team_Summary!$A:$A,Squad_Team_Summary!$D:$D)</f>
        <v>-12.038499999999999</v>
      </c>
      <c r="P83">
        <f>_xlfn.XLOOKUP(C83,Squad_Team_Summary!$A:$A,Squad_Team_Summary!$E:$E)-_xlfn.XLOOKUP(D83,Squad_Team_Summary!$A:$A,Squad_Team_Summary!$E:$E)</f>
        <v>-3.3460999999999999</v>
      </c>
      <c r="Q83">
        <f>_xlfn.XLOOKUP(C83,Squad_Team_Summary!$A:$A,Squad_Team_Summary!$F:$F)-_xlfn.XLOOKUP(D83,Squad_Team_Summary!$A:$A,Squad_Team_Summary!$F:$F)</f>
        <v>5.384600000000006</v>
      </c>
      <c r="R83">
        <f>_xlfn.XLOOKUP(C83,Squad_Team_Summary!$A:$A,Squad_Team_Summary!$H:$H)-_xlfn.XLOOKUP(D83,Squad_Team_Summary!$A:$A,Squad_Team_Summary!$H:$H)</f>
        <v>-3.8499999999999979E-2</v>
      </c>
    </row>
    <row r="84" spans="1:18" x14ac:dyDescent="0.3">
      <c r="A84">
        <v>400021492</v>
      </c>
      <c r="B84" t="s">
        <v>75</v>
      </c>
      <c r="C84" t="s">
        <v>54</v>
      </c>
      <c r="D84" t="s">
        <v>56</v>
      </c>
      <c r="E84" t="s">
        <v>17</v>
      </c>
      <c r="F84">
        <v>3</v>
      </c>
      <c r="G84">
        <v>424.42</v>
      </c>
      <c r="H84">
        <v>0</v>
      </c>
      <c r="I84">
        <v>1</v>
      </c>
      <c r="J84">
        <v>-1.5</v>
      </c>
      <c r="K84">
        <v>1.5</v>
      </c>
      <c r="L84">
        <v>8.5999999999999993E-2</v>
      </c>
      <c r="M84">
        <v>0</v>
      </c>
      <c r="N84">
        <v>1</v>
      </c>
      <c r="O84">
        <f>_xlfn.XLOOKUP(C84,Squad_Team_Summary!$A:$A,Squad_Team_Summary!$D:$D)-_xlfn.XLOOKUP(D84,Squad_Team_Summary!$A:$A,Squad_Team_Summary!$D:$D)</f>
        <v>1.807699999999997</v>
      </c>
      <c r="P84">
        <f>_xlfn.XLOOKUP(C84,Squad_Team_Summary!$A:$A,Squad_Team_Summary!$E:$E)-_xlfn.XLOOKUP(D84,Squad_Team_Summary!$A:$A,Squad_Team_Summary!$E:$E)</f>
        <v>1.1923000000000004</v>
      </c>
      <c r="Q84">
        <f>_xlfn.XLOOKUP(C84,Squad_Team_Summary!$A:$A,Squad_Team_Summary!$F:$F)-_xlfn.XLOOKUP(D84,Squad_Team_Summary!$A:$A,Squad_Team_Summary!$F:$F)</f>
        <v>1.884600000000006</v>
      </c>
      <c r="R84">
        <f>_xlfn.XLOOKUP(C84,Squad_Team_Summary!$A:$A,Squad_Team_Summary!$H:$H)-_xlfn.XLOOKUP(D84,Squad_Team_Summary!$A:$A,Squad_Team_Summary!$H:$H)</f>
        <v>7.6900000000000079E-2</v>
      </c>
    </row>
    <row r="85" spans="1:18" x14ac:dyDescent="0.3">
      <c r="A85">
        <v>400021492</v>
      </c>
      <c r="B85" t="s">
        <v>75</v>
      </c>
      <c r="C85" t="s">
        <v>56</v>
      </c>
      <c r="D85" t="s">
        <v>54</v>
      </c>
      <c r="E85" t="s">
        <v>18</v>
      </c>
      <c r="F85">
        <v>0</v>
      </c>
      <c r="G85">
        <v>-424.42</v>
      </c>
      <c r="H85">
        <v>0</v>
      </c>
      <c r="I85">
        <v>-1</v>
      </c>
      <c r="J85">
        <v>1.5</v>
      </c>
      <c r="K85">
        <v>-1.5</v>
      </c>
      <c r="L85">
        <v>-8.5999999999999993E-2</v>
      </c>
      <c r="M85">
        <v>0</v>
      </c>
      <c r="N85">
        <v>-1</v>
      </c>
      <c r="O85">
        <f>_xlfn.XLOOKUP(C85,Squad_Team_Summary!$A:$A,Squad_Team_Summary!$D:$D)-_xlfn.XLOOKUP(D85,Squad_Team_Summary!$A:$A,Squad_Team_Summary!$D:$D)</f>
        <v>-1.807699999999997</v>
      </c>
      <c r="P85">
        <f>_xlfn.XLOOKUP(C85,Squad_Team_Summary!$A:$A,Squad_Team_Summary!$E:$E)-_xlfn.XLOOKUP(D85,Squad_Team_Summary!$A:$A,Squad_Team_Summary!$E:$E)</f>
        <v>-1.1923000000000004</v>
      </c>
      <c r="Q85">
        <f>_xlfn.XLOOKUP(C85,Squad_Team_Summary!$A:$A,Squad_Team_Summary!$F:$F)-_xlfn.XLOOKUP(D85,Squad_Team_Summary!$A:$A,Squad_Team_Summary!$F:$F)</f>
        <v>-1.884600000000006</v>
      </c>
      <c r="R85">
        <f>_xlfn.XLOOKUP(C85,Squad_Team_Summary!$A:$A,Squad_Team_Summary!$H:$H)-_xlfn.XLOOKUP(D85,Squad_Team_Summary!$A:$A,Squad_Team_Summary!$H:$H)</f>
        <v>-7.6900000000000079E-2</v>
      </c>
    </row>
    <row r="86" spans="1:18" x14ac:dyDescent="0.3">
      <c r="A86">
        <v>400021491</v>
      </c>
      <c r="B86" t="s">
        <v>76</v>
      </c>
      <c r="C86" t="s">
        <v>57</v>
      </c>
      <c r="D86" t="s">
        <v>55</v>
      </c>
      <c r="E86" t="s">
        <v>17</v>
      </c>
      <c r="F86">
        <v>3</v>
      </c>
      <c r="G86">
        <v>-126.63</v>
      </c>
      <c r="H86">
        <v>0</v>
      </c>
      <c r="I86">
        <v>1.5</v>
      </c>
      <c r="J86">
        <v>-1</v>
      </c>
      <c r="K86">
        <v>1.5</v>
      </c>
      <c r="L86">
        <v>-0.28299999999999997</v>
      </c>
      <c r="M86">
        <v>0</v>
      </c>
      <c r="N86">
        <v>1</v>
      </c>
      <c r="O86">
        <f>_xlfn.XLOOKUP(C86,Squad_Team_Summary!$A:$A,Squad_Team_Summary!$D:$D)-_xlfn.XLOOKUP(D86,Squad_Team_Summary!$A:$A,Squad_Team_Summary!$D:$D)</f>
        <v>-7.1538000000000039</v>
      </c>
      <c r="P86">
        <f>_xlfn.XLOOKUP(C86,Squad_Team_Summary!$A:$A,Squad_Team_Summary!$E:$E)-_xlfn.XLOOKUP(D86,Squad_Team_Summary!$A:$A,Squad_Team_Summary!$E:$E)</f>
        <v>-0.30769999999999964</v>
      </c>
      <c r="Q86">
        <f>_xlfn.XLOOKUP(C86,Squad_Team_Summary!$A:$A,Squad_Team_Summary!$F:$F)-_xlfn.XLOOKUP(D86,Squad_Team_Summary!$A:$A,Squad_Team_Summary!$F:$F)</f>
        <v>3.1922999999999888</v>
      </c>
      <c r="R86">
        <f>_xlfn.XLOOKUP(C86,Squad_Team_Summary!$A:$A,Squad_Team_Summary!$H:$H)-_xlfn.XLOOKUP(D86,Squad_Team_Summary!$A:$A,Squad_Team_Summary!$H:$H)</f>
        <v>-0.15380000000000005</v>
      </c>
    </row>
    <row r="87" spans="1:18" x14ac:dyDescent="0.3">
      <c r="A87">
        <v>400021491</v>
      </c>
      <c r="B87" t="s">
        <v>76</v>
      </c>
      <c r="C87" t="s">
        <v>55</v>
      </c>
      <c r="D87" t="s">
        <v>57</v>
      </c>
      <c r="E87" t="s">
        <v>18</v>
      </c>
      <c r="F87">
        <v>2</v>
      </c>
      <c r="G87">
        <v>126.63</v>
      </c>
      <c r="H87">
        <v>0</v>
      </c>
      <c r="I87">
        <v>-1.5</v>
      </c>
      <c r="J87">
        <v>1</v>
      </c>
      <c r="K87">
        <v>-1.5</v>
      </c>
      <c r="L87">
        <v>0.28299999999999997</v>
      </c>
      <c r="M87">
        <v>0</v>
      </c>
      <c r="N87">
        <v>-1</v>
      </c>
      <c r="O87">
        <f>_xlfn.XLOOKUP(C87,Squad_Team_Summary!$A:$A,Squad_Team_Summary!$D:$D)-_xlfn.XLOOKUP(D87,Squad_Team_Summary!$A:$A,Squad_Team_Summary!$D:$D)</f>
        <v>7.1538000000000039</v>
      </c>
      <c r="P87">
        <f>_xlfn.XLOOKUP(C87,Squad_Team_Summary!$A:$A,Squad_Team_Summary!$E:$E)-_xlfn.XLOOKUP(D87,Squad_Team_Summary!$A:$A,Squad_Team_Summary!$E:$E)</f>
        <v>0.30769999999999964</v>
      </c>
      <c r="Q87">
        <f>_xlfn.XLOOKUP(C87,Squad_Team_Summary!$A:$A,Squad_Team_Summary!$F:$F)-_xlfn.XLOOKUP(D87,Squad_Team_Summary!$A:$A,Squad_Team_Summary!$F:$F)</f>
        <v>-3.1922999999999888</v>
      </c>
      <c r="R87">
        <f>_xlfn.XLOOKUP(C87,Squad_Team_Summary!$A:$A,Squad_Team_Summary!$H:$H)-_xlfn.XLOOKUP(D87,Squad_Team_Summary!$A:$A,Squad_Team_Summary!$H:$H)</f>
        <v>0.15380000000000005</v>
      </c>
    </row>
    <row r="88" spans="1:18" x14ac:dyDescent="0.3">
      <c r="A88">
        <v>400021499</v>
      </c>
      <c r="B88" t="s">
        <v>76</v>
      </c>
      <c r="C88" t="s">
        <v>62</v>
      </c>
      <c r="D88" t="s">
        <v>60</v>
      </c>
      <c r="E88" t="s">
        <v>17</v>
      </c>
      <c r="F88">
        <v>1</v>
      </c>
      <c r="G88">
        <v>-183.29</v>
      </c>
      <c r="H88">
        <v>0</v>
      </c>
      <c r="I88">
        <v>0.5</v>
      </c>
      <c r="J88">
        <v>0</v>
      </c>
      <c r="K88">
        <v>0</v>
      </c>
      <c r="L88">
        <v>1.6080000000000001</v>
      </c>
      <c r="M88">
        <v>0</v>
      </c>
      <c r="N88">
        <v>0</v>
      </c>
      <c r="O88">
        <f>_xlfn.XLOOKUP(C88,Squad_Team_Summary!$A:$A,Squad_Team_Summary!$D:$D)-_xlfn.XLOOKUP(D88,Squad_Team_Summary!$A:$A,Squad_Team_Summary!$D:$D)</f>
        <v>10.423100000000005</v>
      </c>
      <c r="P88">
        <f>_xlfn.XLOOKUP(C88,Squad_Team_Summary!$A:$A,Squad_Team_Summary!$E:$E)-_xlfn.XLOOKUP(D88,Squad_Team_Summary!$A:$A,Squad_Team_Summary!$E:$E)</f>
        <v>-1.2692999999999994</v>
      </c>
      <c r="Q88">
        <f>_xlfn.XLOOKUP(C88,Squad_Team_Summary!$A:$A,Squad_Team_Summary!$F:$F)-_xlfn.XLOOKUP(D88,Squad_Team_Summary!$A:$A,Squad_Team_Summary!$F:$F)</f>
        <v>-2.3460999999999785</v>
      </c>
      <c r="R88">
        <f>_xlfn.XLOOKUP(C88,Squad_Team_Summary!$A:$A,Squad_Team_Summary!$H:$H)-_xlfn.XLOOKUP(D88,Squad_Team_Summary!$A:$A,Squad_Team_Summary!$H:$H)</f>
        <v>-0.34610000000000007</v>
      </c>
    </row>
    <row r="89" spans="1:18" x14ac:dyDescent="0.3">
      <c r="A89">
        <v>400021499</v>
      </c>
      <c r="B89" t="s">
        <v>76</v>
      </c>
      <c r="C89" t="s">
        <v>60</v>
      </c>
      <c r="D89" t="s">
        <v>62</v>
      </c>
      <c r="E89" t="s">
        <v>18</v>
      </c>
      <c r="F89">
        <v>2</v>
      </c>
      <c r="G89">
        <v>183.29</v>
      </c>
      <c r="H89">
        <v>0</v>
      </c>
      <c r="I89">
        <v>-0.5</v>
      </c>
      <c r="J89">
        <v>0</v>
      </c>
      <c r="K89">
        <v>0</v>
      </c>
      <c r="L89">
        <v>-1.6080000000000001</v>
      </c>
      <c r="M89">
        <v>0</v>
      </c>
      <c r="N89">
        <v>0</v>
      </c>
      <c r="O89">
        <f>_xlfn.XLOOKUP(C89,Squad_Team_Summary!$A:$A,Squad_Team_Summary!$D:$D)-_xlfn.XLOOKUP(D89,Squad_Team_Summary!$A:$A,Squad_Team_Summary!$D:$D)</f>
        <v>-10.423100000000005</v>
      </c>
      <c r="P89">
        <f>_xlfn.XLOOKUP(C89,Squad_Team_Summary!$A:$A,Squad_Team_Summary!$E:$E)-_xlfn.XLOOKUP(D89,Squad_Team_Summary!$A:$A,Squad_Team_Summary!$E:$E)</f>
        <v>1.2692999999999994</v>
      </c>
      <c r="Q89">
        <f>_xlfn.XLOOKUP(C89,Squad_Team_Summary!$A:$A,Squad_Team_Summary!$F:$F)-_xlfn.XLOOKUP(D89,Squad_Team_Summary!$A:$A,Squad_Team_Summary!$F:$F)</f>
        <v>2.3460999999999785</v>
      </c>
      <c r="R89">
        <f>_xlfn.XLOOKUP(C89,Squad_Team_Summary!$A:$A,Squad_Team_Summary!$H:$H)-_xlfn.XLOOKUP(D89,Squad_Team_Summary!$A:$A,Squad_Team_Summary!$H:$H)</f>
        <v>0.34610000000000007</v>
      </c>
    </row>
    <row r="90" spans="1:18" x14ac:dyDescent="0.3">
      <c r="A90">
        <v>400021503</v>
      </c>
      <c r="B90" t="s">
        <v>76</v>
      </c>
      <c r="C90" t="s">
        <v>63</v>
      </c>
      <c r="D90" t="s">
        <v>70</v>
      </c>
      <c r="E90" t="s">
        <v>17</v>
      </c>
      <c r="F90">
        <v>5</v>
      </c>
      <c r="G90">
        <v>309.12</v>
      </c>
      <c r="H90">
        <v>0</v>
      </c>
      <c r="I90">
        <v>0</v>
      </c>
      <c r="J90">
        <v>-1</v>
      </c>
      <c r="K90">
        <v>0.5</v>
      </c>
      <c r="L90">
        <v>-0.17799999999999999</v>
      </c>
      <c r="M90">
        <v>1</v>
      </c>
      <c r="N90">
        <v>1</v>
      </c>
      <c r="O90">
        <f>_xlfn.XLOOKUP(C90,Squad_Team_Summary!$A:$A,Squad_Team_Summary!$D:$D)-_xlfn.XLOOKUP(D90,Squad_Team_Summary!$A:$A,Squad_Team_Summary!$D:$D)</f>
        <v>9.076900000000002</v>
      </c>
      <c r="P90">
        <f>_xlfn.XLOOKUP(C90,Squad_Team_Summary!$A:$A,Squad_Team_Summary!$E:$E)-_xlfn.XLOOKUP(D90,Squad_Team_Summary!$A:$A,Squad_Team_Summary!$E:$E)</f>
        <v>5.577</v>
      </c>
      <c r="Q90">
        <f>_xlfn.XLOOKUP(C90,Squad_Team_Summary!$A:$A,Squad_Team_Summary!$F:$F)-_xlfn.XLOOKUP(D90,Squad_Team_Summary!$A:$A,Squad_Team_Summary!$F:$F)</f>
        <v>-0.38460000000000605</v>
      </c>
      <c r="R90">
        <f>_xlfn.XLOOKUP(C90,Squad_Team_Summary!$A:$A,Squad_Team_Summary!$H:$H)-_xlfn.XLOOKUP(D90,Squad_Team_Summary!$A:$A,Squad_Team_Summary!$H:$H)</f>
        <v>0.42309999999999998</v>
      </c>
    </row>
    <row r="91" spans="1:18" x14ac:dyDescent="0.3">
      <c r="A91">
        <v>400021503</v>
      </c>
      <c r="B91" t="s">
        <v>76</v>
      </c>
      <c r="C91" t="s">
        <v>70</v>
      </c>
      <c r="D91" t="s">
        <v>63</v>
      </c>
      <c r="E91" t="s">
        <v>18</v>
      </c>
      <c r="F91">
        <v>0</v>
      </c>
      <c r="G91">
        <v>-309.12</v>
      </c>
      <c r="H91">
        <v>0</v>
      </c>
      <c r="I91">
        <v>0</v>
      </c>
      <c r="J91">
        <v>1</v>
      </c>
      <c r="K91">
        <v>-0.5</v>
      </c>
      <c r="L91">
        <v>0.17799999999999999</v>
      </c>
      <c r="M91">
        <v>-1</v>
      </c>
      <c r="N91">
        <v>-1</v>
      </c>
      <c r="O91">
        <f>_xlfn.XLOOKUP(C91,Squad_Team_Summary!$A:$A,Squad_Team_Summary!$D:$D)-_xlfn.XLOOKUP(D91,Squad_Team_Summary!$A:$A,Squad_Team_Summary!$D:$D)</f>
        <v>-9.076900000000002</v>
      </c>
      <c r="P91">
        <f>_xlfn.XLOOKUP(C91,Squad_Team_Summary!$A:$A,Squad_Team_Summary!$E:$E)-_xlfn.XLOOKUP(D91,Squad_Team_Summary!$A:$A,Squad_Team_Summary!$E:$E)</f>
        <v>-5.577</v>
      </c>
      <c r="Q91">
        <f>_xlfn.XLOOKUP(C91,Squad_Team_Summary!$A:$A,Squad_Team_Summary!$F:$F)-_xlfn.XLOOKUP(D91,Squad_Team_Summary!$A:$A,Squad_Team_Summary!$F:$F)</f>
        <v>0.38460000000000605</v>
      </c>
      <c r="R91">
        <f>_xlfn.XLOOKUP(C91,Squad_Team_Summary!$A:$A,Squad_Team_Summary!$H:$H)-_xlfn.XLOOKUP(D91,Squad_Team_Summary!$A:$A,Squad_Team_Summary!$H:$H)</f>
        <v>-0.42309999999999998</v>
      </c>
    </row>
    <row r="92" spans="1:18" x14ac:dyDescent="0.3">
      <c r="A92">
        <v>400021506</v>
      </c>
      <c r="B92" t="s">
        <v>76</v>
      </c>
      <c r="C92" t="s">
        <v>65</v>
      </c>
      <c r="D92" t="s">
        <v>67</v>
      </c>
      <c r="E92" t="s">
        <v>17</v>
      </c>
      <c r="F92">
        <v>0</v>
      </c>
      <c r="G92">
        <v>481.14</v>
      </c>
      <c r="H92">
        <v>0</v>
      </c>
      <c r="I92">
        <v>1.5</v>
      </c>
      <c r="J92">
        <v>1</v>
      </c>
      <c r="K92">
        <v>0</v>
      </c>
      <c r="L92">
        <v>0.29799999999999999</v>
      </c>
      <c r="M92">
        <v>0</v>
      </c>
      <c r="N92">
        <v>1</v>
      </c>
      <c r="O92">
        <f>_xlfn.XLOOKUP(C92,Squad_Team_Summary!$A:$A,Squad_Team_Summary!$D:$D)-_xlfn.XLOOKUP(D92,Squad_Team_Summary!$A:$A,Squad_Team_Summary!$D:$D)</f>
        <v>12.769200000000001</v>
      </c>
      <c r="P92">
        <f>_xlfn.XLOOKUP(C92,Squad_Team_Summary!$A:$A,Squad_Team_Summary!$E:$E)-_xlfn.XLOOKUP(D92,Squad_Team_Summary!$A:$A,Squad_Team_Summary!$E:$E)</f>
        <v>3.8077000000000001</v>
      </c>
      <c r="Q92">
        <f>_xlfn.XLOOKUP(C92,Squad_Team_Summary!$A:$A,Squad_Team_Summary!$F:$F)-_xlfn.XLOOKUP(D92,Squad_Team_Summary!$A:$A,Squad_Team_Summary!$F:$F)</f>
        <v>2</v>
      </c>
      <c r="R92">
        <f>_xlfn.XLOOKUP(C92,Squad_Team_Summary!$A:$A,Squad_Team_Summary!$H:$H)-_xlfn.XLOOKUP(D92,Squad_Team_Summary!$A:$A,Squad_Team_Summary!$H:$H)</f>
        <v>-0.76919999999999999</v>
      </c>
    </row>
    <row r="93" spans="1:18" x14ac:dyDescent="0.3">
      <c r="A93">
        <v>400021506</v>
      </c>
      <c r="B93" t="s">
        <v>76</v>
      </c>
      <c r="C93" t="s">
        <v>67</v>
      </c>
      <c r="D93" t="s">
        <v>65</v>
      </c>
      <c r="E93" t="s">
        <v>18</v>
      </c>
      <c r="F93">
        <v>0</v>
      </c>
      <c r="G93">
        <v>-481.14</v>
      </c>
      <c r="H93">
        <v>0</v>
      </c>
      <c r="I93">
        <v>-1.5</v>
      </c>
      <c r="J93">
        <v>-1</v>
      </c>
      <c r="K93">
        <v>0</v>
      </c>
      <c r="L93">
        <v>-0.29799999999999999</v>
      </c>
      <c r="M93">
        <v>0</v>
      </c>
      <c r="N93">
        <v>-1</v>
      </c>
      <c r="O93">
        <f>_xlfn.XLOOKUP(C93,Squad_Team_Summary!$A:$A,Squad_Team_Summary!$D:$D)-_xlfn.XLOOKUP(D93,Squad_Team_Summary!$A:$A,Squad_Team_Summary!$D:$D)</f>
        <v>-12.769200000000001</v>
      </c>
      <c r="P93">
        <f>_xlfn.XLOOKUP(C93,Squad_Team_Summary!$A:$A,Squad_Team_Summary!$E:$E)-_xlfn.XLOOKUP(D93,Squad_Team_Summary!$A:$A,Squad_Team_Summary!$E:$E)</f>
        <v>-3.8077000000000001</v>
      </c>
      <c r="Q93">
        <f>_xlfn.XLOOKUP(C93,Squad_Team_Summary!$A:$A,Squad_Team_Summary!$F:$F)-_xlfn.XLOOKUP(D93,Squad_Team_Summary!$A:$A,Squad_Team_Summary!$F:$F)</f>
        <v>-2</v>
      </c>
      <c r="R93">
        <f>_xlfn.XLOOKUP(C93,Squad_Team_Summary!$A:$A,Squad_Team_Summary!$H:$H)-_xlfn.XLOOKUP(D93,Squad_Team_Summary!$A:$A,Squad_Team_Summary!$H:$H)</f>
        <v>0.76919999999999999</v>
      </c>
    </row>
    <row r="94" spans="1:18" x14ac:dyDescent="0.3">
      <c r="A94">
        <v>400021511</v>
      </c>
      <c r="B94" t="s">
        <v>76</v>
      </c>
      <c r="C94" t="s">
        <v>68</v>
      </c>
      <c r="D94" t="s">
        <v>66</v>
      </c>
      <c r="E94" t="s">
        <v>17</v>
      </c>
      <c r="F94">
        <v>0</v>
      </c>
      <c r="G94">
        <v>-175.71</v>
      </c>
      <c r="H94">
        <v>0</v>
      </c>
      <c r="I94">
        <v>-1</v>
      </c>
      <c r="J94">
        <v>-1.5</v>
      </c>
      <c r="K94">
        <v>0</v>
      </c>
      <c r="L94">
        <v>2.0979999999999999</v>
      </c>
      <c r="M94">
        <v>0</v>
      </c>
      <c r="N94">
        <v>-1</v>
      </c>
      <c r="O94">
        <f>_xlfn.XLOOKUP(C94,Squad_Team_Summary!$A:$A,Squad_Team_Summary!$D:$D)-_xlfn.XLOOKUP(D94,Squad_Team_Summary!$A:$A,Squad_Team_Summary!$D:$D)</f>
        <v>14.038499999999999</v>
      </c>
      <c r="P94">
        <f>_xlfn.XLOOKUP(C94,Squad_Team_Summary!$A:$A,Squad_Team_Summary!$E:$E)-_xlfn.XLOOKUP(D94,Squad_Team_Summary!$A:$A,Squad_Team_Summary!$E:$E)</f>
        <v>-1.2308000000000003</v>
      </c>
      <c r="Q94">
        <f>_xlfn.XLOOKUP(C94,Squad_Team_Summary!$A:$A,Squad_Team_Summary!$F:$F)-_xlfn.XLOOKUP(D94,Squad_Team_Summary!$A:$A,Squad_Team_Summary!$F:$F)</f>
        <v>-3.1923000000000172</v>
      </c>
      <c r="R94">
        <f>_xlfn.XLOOKUP(C94,Squad_Team_Summary!$A:$A,Squad_Team_Summary!$H:$H)-_xlfn.XLOOKUP(D94,Squad_Team_Summary!$A:$A,Squad_Team_Summary!$H:$H)</f>
        <v>0</v>
      </c>
    </row>
    <row r="95" spans="1:18" x14ac:dyDescent="0.3">
      <c r="A95">
        <v>400021511</v>
      </c>
      <c r="B95" t="s">
        <v>76</v>
      </c>
      <c r="C95" t="s">
        <v>66</v>
      </c>
      <c r="D95" t="s">
        <v>68</v>
      </c>
      <c r="E95" t="s">
        <v>18</v>
      </c>
      <c r="F95">
        <v>1</v>
      </c>
      <c r="G95">
        <v>175.71</v>
      </c>
      <c r="H95">
        <v>0</v>
      </c>
      <c r="I95">
        <v>1</v>
      </c>
      <c r="J95">
        <v>1.5</v>
      </c>
      <c r="K95">
        <v>0</v>
      </c>
      <c r="L95">
        <v>-2.0979999999999999</v>
      </c>
      <c r="M95">
        <v>0</v>
      </c>
      <c r="N95">
        <v>1</v>
      </c>
      <c r="O95">
        <f>_xlfn.XLOOKUP(C95,Squad_Team_Summary!$A:$A,Squad_Team_Summary!$D:$D)-_xlfn.XLOOKUP(D95,Squad_Team_Summary!$A:$A,Squad_Team_Summary!$D:$D)</f>
        <v>-14.038499999999999</v>
      </c>
      <c r="P95">
        <f>_xlfn.XLOOKUP(C95,Squad_Team_Summary!$A:$A,Squad_Team_Summary!$E:$E)-_xlfn.XLOOKUP(D95,Squad_Team_Summary!$A:$A,Squad_Team_Summary!$E:$E)</f>
        <v>1.2308000000000003</v>
      </c>
      <c r="Q95">
        <f>_xlfn.XLOOKUP(C95,Squad_Team_Summary!$A:$A,Squad_Team_Summary!$F:$F)-_xlfn.XLOOKUP(D95,Squad_Team_Summary!$A:$A,Squad_Team_Summary!$F:$F)</f>
        <v>3.1923000000000172</v>
      </c>
      <c r="R95">
        <f>_xlfn.XLOOKUP(C95,Squad_Team_Summary!$A:$A,Squad_Team_Summary!$H:$H)-_xlfn.XLOOKUP(D95,Squad_Team_Summary!$A:$A,Squad_Team_Summary!$H:$H)</f>
        <v>0</v>
      </c>
    </row>
    <row r="96" spans="1:18" x14ac:dyDescent="0.3">
      <c r="A96">
        <v>400021501</v>
      </c>
      <c r="B96" t="s">
        <v>77</v>
      </c>
      <c r="C96" t="s">
        <v>71</v>
      </c>
      <c r="D96" t="s">
        <v>64</v>
      </c>
      <c r="E96" t="s">
        <v>17</v>
      </c>
      <c r="F96">
        <v>1</v>
      </c>
      <c r="G96">
        <v>223.92</v>
      </c>
      <c r="H96">
        <v>0</v>
      </c>
      <c r="I96">
        <v>1</v>
      </c>
      <c r="J96">
        <v>0</v>
      </c>
      <c r="K96">
        <v>1</v>
      </c>
      <c r="L96">
        <v>1.0209999999999999</v>
      </c>
      <c r="M96">
        <v>-1</v>
      </c>
      <c r="N96">
        <v>1</v>
      </c>
      <c r="O96">
        <f>_xlfn.XLOOKUP(C96,Squad_Team_Summary!$A:$A,Squad_Team_Summary!$D:$D)-_xlfn.XLOOKUP(D96,Squad_Team_Summary!$A:$A,Squad_Team_Summary!$D:$D)</f>
        <v>10.230699999999999</v>
      </c>
      <c r="P96">
        <f>_xlfn.XLOOKUP(C96,Squad_Team_Summary!$A:$A,Squad_Team_Summary!$E:$E)-_xlfn.XLOOKUP(D96,Squad_Team_Summary!$A:$A,Squad_Team_Summary!$E:$E)</f>
        <v>1.0769999999999995</v>
      </c>
      <c r="Q96">
        <f>_xlfn.XLOOKUP(C96,Squad_Team_Summary!$A:$A,Squad_Team_Summary!$F:$F)-_xlfn.XLOOKUP(D96,Squad_Team_Summary!$A:$A,Squad_Team_Summary!$F:$F)</f>
        <v>-1</v>
      </c>
      <c r="R96">
        <f>_xlfn.XLOOKUP(C96,Squad_Team_Summary!$A:$A,Squad_Team_Summary!$H:$H)-_xlfn.XLOOKUP(D96,Squad_Team_Summary!$A:$A,Squad_Team_Summary!$H:$H)</f>
        <v>-3.8499999999999979E-2</v>
      </c>
    </row>
    <row r="97" spans="1:18" x14ac:dyDescent="0.3">
      <c r="A97">
        <v>400021501</v>
      </c>
      <c r="B97" t="s">
        <v>77</v>
      </c>
      <c r="C97" t="s">
        <v>64</v>
      </c>
      <c r="D97" t="s">
        <v>71</v>
      </c>
      <c r="E97" t="s">
        <v>18</v>
      </c>
      <c r="F97">
        <v>0</v>
      </c>
      <c r="G97">
        <v>-223.92</v>
      </c>
      <c r="H97">
        <v>0</v>
      </c>
      <c r="I97">
        <v>-1</v>
      </c>
      <c r="J97">
        <v>0</v>
      </c>
      <c r="K97">
        <v>-1</v>
      </c>
      <c r="L97">
        <v>-1.0209999999999999</v>
      </c>
      <c r="M97">
        <v>1</v>
      </c>
      <c r="N97">
        <v>-1</v>
      </c>
      <c r="O97">
        <f>_xlfn.XLOOKUP(C97,Squad_Team_Summary!$A:$A,Squad_Team_Summary!$D:$D)-_xlfn.XLOOKUP(D97,Squad_Team_Summary!$A:$A,Squad_Team_Summary!$D:$D)</f>
        <v>-10.230699999999999</v>
      </c>
      <c r="P97">
        <f>_xlfn.XLOOKUP(C97,Squad_Team_Summary!$A:$A,Squad_Team_Summary!$E:$E)-_xlfn.XLOOKUP(D97,Squad_Team_Summary!$A:$A,Squad_Team_Summary!$E:$E)</f>
        <v>-1.0769999999999995</v>
      </c>
      <c r="Q97">
        <f>_xlfn.XLOOKUP(C97,Squad_Team_Summary!$A:$A,Squad_Team_Summary!$F:$F)-_xlfn.XLOOKUP(D97,Squad_Team_Summary!$A:$A,Squad_Team_Summary!$F:$F)</f>
        <v>1</v>
      </c>
      <c r="R97">
        <f>_xlfn.XLOOKUP(C97,Squad_Team_Summary!$A:$A,Squad_Team_Summary!$H:$H)-_xlfn.XLOOKUP(D97,Squad_Team_Summary!$A:$A,Squad_Team_Summary!$H:$H)</f>
        <v>3.8499999999999979E-2</v>
      </c>
    </row>
    <row r="98" spans="1:18" x14ac:dyDescent="0.3">
      <c r="A98">
        <v>400021448</v>
      </c>
      <c r="B98" t="s">
        <v>77</v>
      </c>
      <c r="C98" t="s">
        <v>23</v>
      </c>
      <c r="D98" t="s">
        <v>27</v>
      </c>
      <c r="E98" t="s">
        <v>17</v>
      </c>
      <c r="F98">
        <v>3</v>
      </c>
      <c r="G98">
        <v>-63.09</v>
      </c>
      <c r="H98">
        <v>0</v>
      </c>
      <c r="I98">
        <v>0.33329999999999999</v>
      </c>
      <c r="J98">
        <v>-0.66669999999999996</v>
      </c>
      <c r="K98">
        <v>0</v>
      </c>
      <c r="L98">
        <v>-3.0510000000000002</v>
      </c>
      <c r="M98">
        <v>0</v>
      </c>
      <c r="N98">
        <v>1</v>
      </c>
      <c r="O98">
        <f>_xlfn.XLOOKUP(C98,Squad_Team_Summary!$A:$A,Squad_Team_Summary!$D:$D)-_xlfn.XLOOKUP(D98,Squad_Team_Summary!$A:$A,Squad_Team_Summary!$D:$D)</f>
        <v>-36.807699999999997</v>
      </c>
      <c r="P98">
        <f>_xlfn.XLOOKUP(C98,Squad_Team_Summary!$A:$A,Squad_Team_Summary!$E:$E)-_xlfn.XLOOKUP(D98,Squad_Team_Summary!$A:$A,Squad_Team_Summary!$E:$E)</f>
        <v>-4.6153999999999993</v>
      </c>
      <c r="Q98">
        <f>_xlfn.XLOOKUP(C98,Squad_Team_Summary!$A:$A,Squad_Team_Summary!$F:$F)-_xlfn.XLOOKUP(D98,Squad_Team_Summary!$A:$A,Squad_Team_Summary!$F:$F)</f>
        <v>7.6922999999999888</v>
      </c>
      <c r="R98">
        <f>_xlfn.XLOOKUP(C98,Squad_Team_Summary!$A:$A,Squad_Team_Summary!$H:$H)-_xlfn.XLOOKUP(D98,Squad_Team_Summary!$A:$A,Squad_Team_Summary!$H:$H)</f>
        <v>0.92300000000000004</v>
      </c>
    </row>
    <row r="99" spans="1:18" x14ac:dyDescent="0.3">
      <c r="A99">
        <v>400021448</v>
      </c>
      <c r="B99" t="s">
        <v>77</v>
      </c>
      <c r="C99" t="s">
        <v>27</v>
      </c>
      <c r="D99" t="s">
        <v>23</v>
      </c>
      <c r="E99" t="s">
        <v>18</v>
      </c>
      <c r="F99">
        <v>1</v>
      </c>
      <c r="G99">
        <v>63.09</v>
      </c>
      <c r="H99">
        <v>0</v>
      </c>
      <c r="I99">
        <v>-0.33329999999999999</v>
      </c>
      <c r="J99">
        <v>0.66669999999999996</v>
      </c>
      <c r="K99">
        <v>0</v>
      </c>
      <c r="L99">
        <v>3.0510000000000002</v>
      </c>
      <c r="M99">
        <v>0</v>
      </c>
      <c r="N99">
        <v>-1</v>
      </c>
      <c r="O99">
        <f>_xlfn.XLOOKUP(C99,Squad_Team_Summary!$A:$A,Squad_Team_Summary!$D:$D)-_xlfn.XLOOKUP(D99,Squad_Team_Summary!$A:$A,Squad_Team_Summary!$D:$D)</f>
        <v>36.807699999999997</v>
      </c>
      <c r="P99">
        <f>_xlfn.XLOOKUP(C99,Squad_Team_Summary!$A:$A,Squad_Team_Summary!$E:$E)-_xlfn.XLOOKUP(D99,Squad_Team_Summary!$A:$A,Squad_Team_Summary!$E:$E)</f>
        <v>4.6153999999999993</v>
      </c>
      <c r="Q99">
        <f>_xlfn.XLOOKUP(C99,Squad_Team_Summary!$A:$A,Squad_Team_Summary!$F:$F)-_xlfn.XLOOKUP(D99,Squad_Team_Summary!$A:$A,Squad_Team_Summary!$F:$F)</f>
        <v>-7.6922999999999888</v>
      </c>
      <c r="R99">
        <f>_xlfn.XLOOKUP(C99,Squad_Team_Summary!$A:$A,Squad_Team_Summary!$H:$H)-_xlfn.XLOOKUP(D99,Squad_Team_Summary!$A:$A,Squad_Team_Summary!$H:$H)</f>
        <v>-0.92300000000000004</v>
      </c>
    </row>
    <row r="100" spans="1:18" x14ac:dyDescent="0.3">
      <c r="A100">
        <v>400021451</v>
      </c>
      <c r="B100" t="s">
        <v>77</v>
      </c>
      <c r="C100" t="s">
        <v>28</v>
      </c>
      <c r="D100" t="s">
        <v>22</v>
      </c>
      <c r="E100" t="s">
        <v>17</v>
      </c>
      <c r="F100">
        <v>2</v>
      </c>
      <c r="G100">
        <v>90.58</v>
      </c>
      <c r="H100">
        <v>-1</v>
      </c>
      <c r="I100">
        <v>-0.66669999999999996</v>
      </c>
      <c r="J100">
        <v>0.33329999999999999</v>
      </c>
      <c r="K100">
        <v>0</v>
      </c>
      <c r="L100">
        <v>1.3340000000000001</v>
      </c>
      <c r="M100">
        <v>0</v>
      </c>
      <c r="N100">
        <v>1</v>
      </c>
      <c r="O100">
        <f>_xlfn.XLOOKUP(C100,Squad_Team_Summary!$A:$A,Squad_Team_Summary!$D:$D)-_xlfn.XLOOKUP(D100,Squad_Team_Summary!$A:$A,Squad_Team_Summary!$D:$D)</f>
        <v>7.423099999999998</v>
      </c>
      <c r="P100">
        <f>_xlfn.XLOOKUP(C100,Squad_Team_Summary!$A:$A,Squad_Team_Summary!$E:$E)-_xlfn.XLOOKUP(D100,Squad_Team_Summary!$A:$A,Squad_Team_Summary!$E:$E)</f>
        <v>-0.26929999999999943</v>
      </c>
      <c r="Q100">
        <f>_xlfn.XLOOKUP(C100,Squad_Team_Summary!$A:$A,Squad_Team_Summary!$F:$F)-_xlfn.XLOOKUP(D100,Squad_Team_Summary!$A:$A,Squad_Team_Summary!$F:$F)</f>
        <v>2.9230999999999767</v>
      </c>
      <c r="R100">
        <f>_xlfn.XLOOKUP(C100,Squad_Team_Summary!$A:$A,Squad_Team_Summary!$H:$H)-_xlfn.XLOOKUP(D100,Squad_Team_Summary!$A:$A,Squad_Team_Summary!$H:$H)</f>
        <v>0</v>
      </c>
    </row>
    <row r="101" spans="1:18" x14ac:dyDescent="0.3">
      <c r="A101">
        <v>400021451</v>
      </c>
      <c r="B101" t="s">
        <v>77</v>
      </c>
      <c r="C101" t="s">
        <v>22</v>
      </c>
      <c r="D101" t="s">
        <v>28</v>
      </c>
      <c r="E101" t="s">
        <v>18</v>
      </c>
      <c r="F101">
        <v>1</v>
      </c>
      <c r="G101">
        <v>-90.58</v>
      </c>
      <c r="H101">
        <v>1</v>
      </c>
      <c r="I101">
        <v>0.66669999999999996</v>
      </c>
      <c r="J101">
        <v>-0.33329999999999999</v>
      </c>
      <c r="K101">
        <v>0</v>
      </c>
      <c r="L101">
        <v>-1.3340000000000001</v>
      </c>
      <c r="M101">
        <v>0</v>
      </c>
      <c r="N101">
        <v>-1</v>
      </c>
      <c r="O101">
        <f>_xlfn.XLOOKUP(C101,Squad_Team_Summary!$A:$A,Squad_Team_Summary!$D:$D)-_xlfn.XLOOKUP(D101,Squad_Team_Summary!$A:$A,Squad_Team_Summary!$D:$D)</f>
        <v>-7.423099999999998</v>
      </c>
      <c r="P101">
        <f>_xlfn.XLOOKUP(C101,Squad_Team_Summary!$A:$A,Squad_Team_Summary!$E:$E)-_xlfn.XLOOKUP(D101,Squad_Team_Summary!$A:$A,Squad_Team_Summary!$E:$E)</f>
        <v>0.26929999999999943</v>
      </c>
      <c r="Q101">
        <f>_xlfn.XLOOKUP(C101,Squad_Team_Summary!$A:$A,Squad_Team_Summary!$F:$F)-_xlfn.XLOOKUP(D101,Squad_Team_Summary!$A:$A,Squad_Team_Summary!$F:$F)</f>
        <v>-2.9230999999999767</v>
      </c>
      <c r="R101">
        <f>_xlfn.XLOOKUP(C101,Squad_Team_Summary!$A:$A,Squad_Team_Summary!$H:$H)-_xlfn.XLOOKUP(D101,Squad_Team_Summary!$A:$A,Squad_Team_Summary!$H:$H)</f>
        <v>0</v>
      </c>
    </row>
    <row r="102" spans="1:18" x14ac:dyDescent="0.3">
      <c r="A102">
        <v>400021452</v>
      </c>
      <c r="B102" t="s">
        <v>77</v>
      </c>
      <c r="C102" t="s">
        <v>30</v>
      </c>
      <c r="D102" t="s">
        <v>32</v>
      </c>
      <c r="E102" t="s">
        <v>17</v>
      </c>
      <c r="F102">
        <v>4</v>
      </c>
      <c r="G102">
        <v>462</v>
      </c>
      <c r="H102">
        <v>0</v>
      </c>
      <c r="I102">
        <v>0.66669999999999996</v>
      </c>
      <c r="J102">
        <v>-1</v>
      </c>
      <c r="K102">
        <v>1.3332999999999999</v>
      </c>
      <c r="L102">
        <v>-0.90900000000000003</v>
      </c>
      <c r="M102">
        <v>1</v>
      </c>
      <c r="N102">
        <v>0</v>
      </c>
      <c r="O102">
        <f>_xlfn.XLOOKUP(C102,Squad_Team_Summary!$A:$A,Squad_Team_Summary!$D:$D)-_xlfn.XLOOKUP(D102,Squad_Team_Summary!$A:$A,Squad_Team_Summary!$D:$D)</f>
        <v>4.8846999999999987</v>
      </c>
      <c r="P102">
        <f>_xlfn.XLOOKUP(C102,Squad_Team_Summary!$A:$A,Squad_Team_Summary!$E:$E)-_xlfn.XLOOKUP(D102,Squad_Team_Summary!$A:$A,Squad_Team_Summary!$E:$E)</f>
        <v>-0.26919999999999966</v>
      </c>
      <c r="Q102">
        <f>_xlfn.XLOOKUP(C102,Squad_Team_Summary!$A:$A,Squad_Team_Summary!$F:$F)-_xlfn.XLOOKUP(D102,Squad_Team_Summary!$A:$A,Squad_Team_Summary!$F:$F)</f>
        <v>0.80770000000001119</v>
      </c>
      <c r="R102">
        <f>_xlfn.XLOOKUP(C102,Squad_Team_Summary!$A:$A,Squad_Team_Summary!$H:$H)-_xlfn.XLOOKUP(D102,Squad_Team_Summary!$A:$A,Squad_Team_Summary!$H:$H)</f>
        <v>-3.839999999999999E-2</v>
      </c>
    </row>
    <row r="103" spans="1:18" x14ac:dyDescent="0.3">
      <c r="A103">
        <v>400021452</v>
      </c>
      <c r="B103" t="s">
        <v>77</v>
      </c>
      <c r="C103" t="s">
        <v>32</v>
      </c>
      <c r="D103" t="s">
        <v>30</v>
      </c>
      <c r="E103" t="s">
        <v>18</v>
      </c>
      <c r="F103">
        <v>2</v>
      </c>
      <c r="G103">
        <v>-462</v>
      </c>
      <c r="H103">
        <v>0</v>
      </c>
      <c r="I103">
        <v>-0.66669999999999996</v>
      </c>
      <c r="J103">
        <v>1</v>
      </c>
      <c r="K103">
        <v>-1.3332999999999999</v>
      </c>
      <c r="L103">
        <v>0.90900000000000003</v>
      </c>
      <c r="M103">
        <v>-1</v>
      </c>
      <c r="N103">
        <v>0</v>
      </c>
      <c r="O103">
        <f>_xlfn.XLOOKUP(C103,Squad_Team_Summary!$A:$A,Squad_Team_Summary!$D:$D)-_xlfn.XLOOKUP(D103,Squad_Team_Summary!$A:$A,Squad_Team_Summary!$D:$D)</f>
        <v>-4.8846999999999987</v>
      </c>
      <c r="P103">
        <f>_xlfn.XLOOKUP(C103,Squad_Team_Summary!$A:$A,Squad_Team_Summary!$E:$E)-_xlfn.XLOOKUP(D103,Squad_Team_Summary!$A:$A,Squad_Team_Summary!$E:$E)</f>
        <v>0.26919999999999966</v>
      </c>
      <c r="Q103">
        <f>_xlfn.XLOOKUP(C103,Squad_Team_Summary!$A:$A,Squad_Team_Summary!$F:$F)-_xlfn.XLOOKUP(D103,Squad_Team_Summary!$A:$A,Squad_Team_Summary!$F:$F)</f>
        <v>-0.80770000000001119</v>
      </c>
      <c r="R103">
        <f>_xlfn.XLOOKUP(C103,Squad_Team_Summary!$A:$A,Squad_Team_Summary!$H:$H)-_xlfn.XLOOKUP(D103,Squad_Team_Summary!$A:$A,Squad_Team_Summary!$H:$H)</f>
        <v>3.839999999999999E-2</v>
      </c>
    </row>
    <row r="104" spans="1:18" x14ac:dyDescent="0.3">
      <c r="A104">
        <v>400021455</v>
      </c>
      <c r="B104" t="s">
        <v>77</v>
      </c>
      <c r="C104" t="s">
        <v>33</v>
      </c>
      <c r="D104" t="s">
        <v>29</v>
      </c>
      <c r="E104" t="s">
        <v>17</v>
      </c>
      <c r="F104">
        <v>0</v>
      </c>
      <c r="G104">
        <v>-262.52</v>
      </c>
      <c r="H104">
        <v>0</v>
      </c>
      <c r="I104">
        <v>-1</v>
      </c>
      <c r="J104">
        <v>0</v>
      </c>
      <c r="K104">
        <v>-0.33329999999999999</v>
      </c>
      <c r="L104">
        <v>-0.161</v>
      </c>
      <c r="M104">
        <v>1</v>
      </c>
      <c r="N104">
        <v>0</v>
      </c>
      <c r="O104">
        <f>_xlfn.XLOOKUP(C104,Squad_Team_Summary!$A:$A,Squad_Team_Summary!$D:$D)-_xlfn.XLOOKUP(D104,Squad_Team_Summary!$A:$A,Squad_Team_Summary!$D:$D)</f>
        <v>1.0383999999999958</v>
      </c>
      <c r="P104">
        <f>_xlfn.XLOOKUP(C104,Squad_Team_Summary!$A:$A,Squad_Team_Summary!$E:$E)-_xlfn.XLOOKUP(D104,Squad_Team_Summary!$A:$A,Squad_Team_Summary!$E:$E)</f>
        <v>-2.4231000000000003</v>
      </c>
      <c r="Q104">
        <f>_xlfn.XLOOKUP(C104,Squad_Team_Summary!$A:$A,Squad_Team_Summary!$F:$F)-_xlfn.XLOOKUP(D104,Squad_Team_Summary!$A:$A,Squad_Team_Summary!$F:$F)</f>
        <v>1.346100000000007</v>
      </c>
      <c r="R104">
        <f>_xlfn.XLOOKUP(C104,Squad_Team_Summary!$A:$A,Squad_Team_Summary!$H:$H)-_xlfn.XLOOKUP(D104,Squad_Team_Summary!$A:$A,Squad_Team_Summary!$H:$H)</f>
        <v>-3.8499999999999979E-2</v>
      </c>
    </row>
    <row r="105" spans="1:18" x14ac:dyDescent="0.3">
      <c r="A105">
        <v>400021455</v>
      </c>
      <c r="B105" t="s">
        <v>77</v>
      </c>
      <c r="C105" t="s">
        <v>29</v>
      </c>
      <c r="D105" t="s">
        <v>33</v>
      </c>
      <c r="E105" t="s">
        <v>18</v>
      </c>
      <c r="F105">
        <v>3</v>
      </c>
      <c r="G105">
        <v>262.52</v>
      </c>
      <c r="H105">
        <v>0</v>
      </c>
      <c r="I105">
        <v>1</v>
      </c>
      <c r="J105">
        <v>0</v>
      </c>
      <c r="K105">
        <v>0.33329999999999999</v>
      </c>
      <c r="L105">
        <v>0.161</v>
      </c>
      <c r="M105">
        <v>-1</v>
      </c>
      <c r="N105">
        <v>0</v>
      </c>
      <c r="O105">
        <f>_xlfn.XLOOKUP(C105,Squad_Team_Summary!$A:$A,Squad_Team_Summary!$D:$D)-_xlfn.XLOOKUP(D105,Squad_Team_Summary!$A:$A,Squad_Team_Summary!$D:$D)</f>
        <v>-1.0383999999999958</v>
      </c>
      <c r="P105">
        <f>_xlfn.XLOOKUP(C105,Squad_Team_Summary!$A:$A,Squad_Team_Summary!$E:$E)-_xlfn.XLOOKUP(D105,Squad_Team_Summary!$A:$A,Squad_Team_Summary!$E:$E)</f>
        <v>2.4231000000000003</v>
      </c>
      <c r="Q105">
        <f>_xlfn.XLOOKUP(C105,Squad_Team_Summary!$A:$A,Squad_Team_Summary!$F:$F)-_xlfn.XLOOKUP(D105,Squad_Team_Summary!$A:$A,Squad_Team_Summary!$F:$F)</f>
        <v>-1.346100000000007</v>
      </c>
      <c r="R105">
        <f>_xlfn.XLOOKUP(C105,Squad_Team_Summary!$A:$A,Squad_Team_Summary!$H:$H)-_xlfn.XLOOKUP(D105,Squad_Team_Summary!$A:$A,Squad_Team_Summary!$H:$H)</f>
        <v>3.8499999999999979E-2</v>
      </c>
    </row>
    <row r="106" spans="1:18" x14ac:dyDescent="0.3">
      <c r="A106">
        <v>400021445</v>
      </c>
      <c r="B106" t="s">
        <v>78</v>
      </c>
      <c r="C106" t="s">
        <v>16</v>
      </c>
      <c r="D106" t="s">
        <v>20</v>
      </c>
      <c r="E106" t="s">
        <v>17</v>
      </c>
      <c r="F106">
        <v>1</v>
      </c>
      <c r="G106">
        <v>-163.25</v>
      </c>
      <c r="H106">
        <v>0</v>
      </c>
      <c r="I106">
        <v>-0.33329999999999999</v>
      </c>
      <c r="J106">
        <v>0.33329999999999999</v>
      </c>
      <c r="K106">
        <v>-0.66669999999999996</v>
      </c>
      <c r="L106">
        <v>-1.2569999999999999</v>
      </c>
      <c r="M106">
        <v>1</v>
      </c>
      <c r="N106">
        <v>0</v>
      </c>
      <c r="O106">
        <f>_xlfn.XLOOKUP(C106,Squad_Team_Summary!$A:$A,Squad_Team_Summary!$D:$D)-_xlfn.XLOOKUP(D106,Squad_Team_Summary!$A:$A,Squad_Team_Summary!$D:$D)</f>
        <v>-15.932300000000001</v>
      </c>
      <c r="P106">
        <f>_xlfn.XLOOKUP(C106,Squad_Team_Summary!$A:$A,Squad_Team_Summary!$E:$E)-_xlfn.XLOOKUP(D106,Squad_Team_Summary!$A:$A,Squad_Team_Summary!$E:$E)</f>
        <v>-2.8984999999999999</v>
      </c>
      <c r="Q106">
        <f>_xlfn.XLOOKUP(C106,Squad_Team_Summary!$A:$A,Squad_Team_Summary!$F:$F)-_xlfn.XLOOKUP(D106,Squad_Team_Summary!$A:$A,Squad_Team_Summary!$F:$F)</f>
        <v>-3.0031000000000176</v>
      </c>
      <c r="R106">
        <f>_xlfn.XLOOKUP(C106,Squad_Team_Summary!$A:$A,Squad_Team_Summary!$H:$H)-_xlfn.XLOOKUP(D106,Squad_Team_Summary!$A:$A,Squad_Team_Summary!$H:$H)</f>
        <v>-0.45079999999999998</v>
      </c>
    </row>
    <row r="107" spans="1:18" x14ac:dyDescent="0.3">
      <c r="A107">
        <v>400021445</v>
      </c>
      <c r="B107" t="s">
        <v>78</v>
      </c>
      <c r="C107" t="s">
        <v>20</v>
      </c>
      <c r="D107" t="s">
        <v>16</v>
      </c>
      <c r="E107" t="s">
        <v>18</v>
      </c>
      <c r="F107">
        <v>0</v>
      </c>
      <c r="G107">
        <v>163.25</v>
      </c>
      <c r="H107">
        <v>0</v>
      </c>
      <c r="I107">
        <v>0.33329999999999999</v>
      </c>
      <c r="J107">
        <v>-0.33329999999999999</v>
      </c>
      <c r="K107">
        <v>0.66669999999999996</v>
      </c>
      <c r="L107">
        <v>1.2569999999999999</v>
      </c>
      <c r="M107">
        <v>-1</v>
      </c>
      <c r="N107">
        <v>0</v>
      </c>
      <c r="O107">
        <f>_xlfn.XLOOKUP(C107,Squad_Team_Summary!$A:$A,Squad_Team_Summary!$D:$D)-_xlfn.XLOOKUP(D107,Squad_Team_Summary!$A:$A,Squad_Team_Summary!$D:$D)</f>
        <v>15.932300000000001</v>
      </c>
      <c r="P107">
        <f>_xlfn.XLOOKUP(C107,Squad_Team_Summary!$A:$A,Squad_Team_Summary!$E:$E)-_xlfn.XLOOKUP(D107,Squad_Team_Summary!$A:$A,Squad_Team_Summary!$E:$E)</f>
        <v>2.8984999999999999</v>
      </c>
      <c r="Q107">
        <f>_xlfn.XLOOKUP(C107,Squad_Team_Summary!$A:$A,Squad_Team_Summary!$F:$F)-_xlfn.XLOOKUP(D107,Squad_Team_Summary!$A:$A,Squad_Team_Summary!$F:$F)</f>
        <v>3.0031000000000176</v>
      </c>
      <c r="R107">
        <f>_xlfn.XLOOKUP(C107,Squad_Team_Summary!$A:$A,Squad_Team_Summary!$H:$H)-_xlfn.XLOOKUP(D107,Squad_Team_Summary!$A:$A,Squad_Team_Summary!$H:$H)</f>
        <v>0.45079999999999998</v>
      </c>
    </row>
    <row r="108" spans="1:18" x14ac:dyDescent="0.3">
      <c r="A108">
        <v>400021444</v>
      </c>
      <c r="B108" t="s">
        <v>78</v>
      </c>
      <c r="C108" t="s">
        <v>21</v>
      </c>
      <c r="D108" t="s">
        <v>15</v>
      </c>
      <c r="E108" t="s">
        <v>17</v>
      </c>
      <c r="F108">
        <v>0</v>
      </c>
      <c r="G108">
        <v>-181.74</v>
      </c>
      <c r="H108">
        <v>-1</v>
      </c>
      <c r="I108">
        <v>-0.33329999999999999</v>
      </c>
      <c r="J108">
        <v>1</v>
      </c>
      <c r="K108">
        <v>-1.6667000000000001</v>
      </c>
      <c r="L108">
        <v>-0.28000000000000003</v>
      </c>
      <c r="M108">
        <v>1</v>
      </c>
      <c r="N108">
        <v>1</v>
      </c>
      <c r="O108">
        <f>_xlfn.XLOOKUP(C108,Squad_Team_Summary!$A:$A,Squad_Team_Summary!$D:$D)-_xlfn.XLOOKUP(D108,Squad_Team_Summary!$A:$A,Squad_Team_Summary!$D:$D)</f>
        <v>-20.423099999999998</v>
      </c>
      <c r="P108">
        <f>_xlfn.XLOOKUP(C108,Squad_Team_Summary!$A:$A,Squad_Team_Summary!$E:$E)-_xlfn.XLOOKUP(D108,Squad_Team_Summary!$A:$A,Squad_Team_Summary!$E:$E)</f>
        <v>-1.0383999999999998</v>
      </c>
      <c r="Q108">
        <f>_xlfn.XLOOKUP(C108,Squad_Team_Summary!$A:$A,Squad_Team_Summary!$F:$F)-_xlfn.XLOOKUP(D108,Squad_Team_Summary!$A:$A,Squad_Team_Summary!$F:$F)</f>
        <v>6.2307999999999879</v>
      </c>
      <c r="R108">
        <f>_xlfn.XLOOKUP(C108,Squad_Team_Summary!$A:$A,Squad_Team_Summary!$H:$H)-_xlfn.XLOOKUP(D108,Squad_Team_Summary!$A:$A,Squad_Team_Summary!$H:$H)</f>
        <v>-0.19229999999999997</v>
      </c>
    </row>
    <row r="109" spans="1:18" x14ac:dyDescent="0.3">
      <c r="A109">
        <v>400021444</v>
      </c>
      <c r="B109" t="s">
        <v>78</v>
      </c>
      <c r="C109" t="s">
        <v>15</v>
      </c>
      <c r="D109" t="s">
        <v>21</v>
      </c>
      <c r="E109" t="s">
        <v>18</v>
      </c>
      <c r="F109">
        <v>3</v>
      </c>
      <c r="G109">
        <v>181.74</v>
      </c>
      <c r="H109">
        <v>1</v>
      </c>
      <c r="I109">
        <v>0.33329999999999999</v>
      </c>
      <c r="J109">
        <v>-1</v>
      </c>
      <c r="K109">
        <v>1.6667000000000001</v>
      </c>
      <c r="L109">
        <v>0.28000000000000003</v>
      </c>
      <c r="M109">
        <v>-1</v>
      </c>
      <c r="N109">
        <v>-1</v>
      </c>
      <c r="O109">
        <f>_xlfn.XLOOKUP(C109,Squad_Team_Summary!$A:$A,Squad_Team_Summary!$D:$D)-_xlfn.XLOOKUP(D109,Squad_Team_Summary!$A:$A,Squad_Team_Summary!$D:$D)</f>
        <v>20.423099999999998</v>
      </c>
      <c r="P109">
        <f>_xlfn.XLOOKUP(C109,Squad_Team_Summary!$A:$A,Squad_Team_Summary!$E:$E)-_xlfn.XLOOKUP(D109,Squad_Team_Summary!$A:$A,Squad_Team_Summary!$E:$E)</f>
        <v>1.0383999999999998</v>
      </c>
      <c r="Q109">
        <f>_xlfn.XLOOKUP(C109,Squad_Team_Summary!$A:$A,Squad_Team_Summary!$F:$F)-_xlfn.XLOOKUP(D109,Squad_Team_Summary!$A:$A,Squad_Team_Summary!$F:$F)</f>
        <v>-6.2307999999999879</v>
      </c>
      <c r="R109">
        <f>_xlfn.XLOOKUP(C109,Squad_Team_Summary!$A:$A,Squad_Team_Summary!$H:$H)-_xlfn.XLOOKUP(D109,Squad_Team_Summary!$A:$A,Squad_Team_Summary!$H:$H)</f>
        <v>0.19229999999999997</v>
      </c>
    </row>
    <row r="110" spans="1:18" x14ac:dyDescent="0.3">
      <c r="A110">
        <v>400021468</v>
      </c>
      <c r="B110" t="s">
        <v>78</v>
      </c>
      <c r="C110" t="s">
        <v>37</v>
      </c>
      <c r="D110" t="s">
        <v>40</v>
      </c>
      <c r="E110" t="s">
        <v>17</v>
      </c>
      <c r="F110">
        <v>0</v>
      </c>
      <c r="G110">
        <v>-246.1</v>
      </c>
      <c r="H110">
        <v>0</v>
      </c>
      <c r="I110">
        <v>-0.33329999999999999</v>
      </c>
      <c r="J110">
        <v>1.6667000000000001</v>
      </c>
      <c r="K110">
        <v>-0.66669999999999996</v>
      </c>
      <c r="L110">
        <v>2.1720000000000002</v>
      </c>
      <c r="M110">
        <v>-1</v>
      </c>
      <c r="N110">
        <v>0</v>
      </c>
      <c r="O110">
        <f>_xlfn.XLOOKUP(C110,Squad_Team_Summary!$A:$A,Squad_Team_Summary!$D:$D)-_xlfn.XLOOKUP(D110,Squad_Team_Summary!$A:$A,Squad_Team_Summary!$D:$D)</f>
        <v>-3.9616000000000007</v>
      </c>
      <c r="P110">
        <f>_xlfn.XLOOKUP(C110,Squad_Team_Summary!$A:$A,Squad_Team_Summary!$E:$E)-_xlfn.XLOOKUP(D110,Squad_Team_Summary!$A:$A,Squad_Team_Summary!$E:$E)</f>
        <v>-0.53849999999999998</v>
      </c>
      <c r="Q110">
        <f>_xlfn.XLOOKUP(C110,Squad_Team_Summary!$A:$A,Squad_Team_Summary!$F:$F)-_xlfn.XLOOKUP(D110,Squad_Team_Summary!$A:$A,Squad_Team_Summary!$F:$F)</f>
        <v>-1</v>
      </c>
      <c r="R110">
        <f>_xlfn.XLOOKUP(C110,Squad_Team_Summary!$A:$A,Squad_Team_Summary!$H:$H)-_xlfn.XLOOKUP(D110,Squad_Team_Summary!$A:$A,Squad_Team_Summary!$H:$H)</f>
        <v>0</v>
      </c>
    </row>
    <row r="111" spans="1:18" x14ac:dyDescent="0.3">
      <c r="A111">
        <v>400021468</v>
      </c>
      <c r="B111" t="s">
        <v>78</v>
      </c>
      <c r="C111" t="s">
        <v>40</v>
      </c>
      <c r="D111" t="s">
        <v>37</v>
      </c>
      <c r="E111" t="s">
        <v>18</v>
      </c>
      <c r="F111">
        <v>2</v>
      </c>
      <c r="G111">
        <v>246.1</v>
      </c>
      <c r="H111">
        <v>0</v>
      </c>
      <c r="I111">
        <v>0.33329999999999999</v>
      </c>
      <c r="J111">
        <v>-1.6667000000000001</v>
      </c>
      <c r="K111">
        <v>0.66669999999999996</v>
      </c>
      <c r="L111">
        <v>-2.1720000000000002</v>
      </c>
      <c r="M111">
        <v>1</v>
      </c>
      <c r="N111">
        <v>0</v>
      </c>
      <c r="O111">
        <f>_xlfn.XLOOKUP(C111,Squad_Team_Summary!$A:$A,Squad_Team_Summary!$D:$D)-_xlfn.XLOOKUP(D111,Squad_Team_Summary!$A:$A,Squad_Team_Summary!$D:$D)</f>
        <v>3.9616000000000007</v>
      </c>
      <c r="P111">
        <f>_xlfn.XLOOKUP(C111,Squad_Team_Summary!$A:$A,Squad_Team_Summary!$E:$E)-_xlfn.XLOOKUP(D111,Squad_Team_Summary!$A:$A,Squad_Team_Summary!$E:$E)</f>
        <v>0.53849999999999998</v>
      </c>
      <c r="Q111">
        <f>_xlfn.XLOOKUP(C111,Squad_Team_Summary!$A:$A,Squad_Team_Summary!$F:$F)-_xlfn.XLOOKUP(D111,Squad_Team_Summary!$A:$A,Squad_Team_Summary!$F:$F)</f>
        <v>1</v>
      </c>
      <c r="R111">
        <f>_xlfn.XLOOKUP(C111,Squad_Team_Summary!$A:$A,Squad_Team_Summary!$H:$H)-_xlfn.XLOOKUP(D111,Squad_Team_Summary!$A:$A,Squad_Team_Summary!$H:$H)</f>
        <v>0</v>
      </c>
    </row>
    <row r="112" spans="1:18" x14ac:dyDescent="0.3">
      <c r="A112">
        <v>400021466</v>
      </c>
      <c r="B112" t="s">
        <v>78</v>
      </c>
      <c r="C112" t="s">
        <v>41</v>
      </c>
      <c r="D112" t="s">
        <v>36</v>
      </c>
      <c r="E112" t="s">
        <v>17</v>
      </c>
      <c r="F112">
        <v>2</v>
      </c>
      <c r="G112">
        <v>-137.25</v>
      </c>
      <c r="H112">
        <v>0</v>
      </c>
      <c r="I112">
        <v>-3</v>
      </c>
      <c r="J112">
        <v>-0.33329999999999999</v>
      </c>
      <c r="K112">
        <v>-1.6667000000000001</v>
      </c>
      <c r="L112">
        <v>-1.9690000000000001</v>
      </c>
      <c r="M112">
        <v>-1</v>
      </c>
      <c r="N112">
        <v>0</v>
      </c>
      <c r="O112">
        <f>_xlfn.XLOOKUP(C112,Squad_Team_Summary!$A:$A,Squad_Team_Summary!$D:$D)-_xlfn.XLOOKUP(D112,Squad_Team_Summary!$A:$A,Squad_Team_Summary!$D:$D)</f>
        <v>-2.9615000000000009</v>
      </c>
      <c r="P112">
        <f>_xlfn.XLOOKUP(C112,Squad_Team_Summary!$A:$A,Squad_Team_Summary!$E:$E)-_xlfn.XLOOKUP(D112,Squad_Team_Summary!$A:$A,Squad_Team_Summary!$E:$E)</f>
        <v>-0.76920000000000011</v>
      </c>
      <c r="Q112">
        <f>_xlfn.XLOOKUP(C112,Squad_Team_Summary!$A:$A,Squad_Team_Summary!$F:$F)-_xlfn.XLOOKUP(D112,Squad_Team_Summary!$A:$A,Squad_Team_Summary!$F:$F)</f>
        <v>-5.6537999999999897</v>
      </c>
      <c r="R112">
        <f>_xlfn.XLOOKUP(C112,Squad_Team_Summary!$A:$A,Squad_Team_Summary!$H:$H)-_xlfn.XLOOKUP(D112,Squad_Team_Summary!$A:$A,Squad_Team_Summary!$H:$H)</f>
        <v>0.65390000000000004</v>
      </c>
    </row>
    <row r="113" spans="1:18" x14ac:dyDescent="0.3">
      <c r="A113">
        <v>400021466</v>
      </c>
      <c r="B113" t="s">
        <v>78</v>
      </c>
      <c r="C113" t="s">
        <v>36</v>
      </c>
      <c r="D113" t="s">
        <v>41</v>
      </c>
      <c r="E113" t="s">
        <v>18</v>
      </c>
      <c r="F113">
        <v>1</v>
      </c>
      <c r="G113">
        <v>137.25</v>
      </c>
      <c r="H113">
        <v>0</v>
      </c>
      <c r="I113">
        <v>3</v>
      </c>
      <c r="J113">
        <v>0.33329999999999999</v>
      </c>
      <c r="K113">
        <v>1.6667000000000001</v>
      </c>
      <c r="L113">
        <v>1.9690000000000001</v>
      </c>
      <c r="M113">
        <v>1</v>
      </c>
      <c r="N113">
        <v>0</v>
      </c>
      <c r="O113">
        <f>_xlfn.XLOOKUP(C113,Squad_Team_Summary!$A:$A,Squad_Team_Summary!$D:$D)-_xlfn.XLOOKUP(D113,Squad_Team_Summary!$A:$A,Squad_Team_Summary!$D:$D)</f>
        <v>2.9615000000000009</v>
      </c>
      <c r="P113">
        <f>_xlfn.XLOOKUP(C113,Squad_Team_Summary!$A:$A,Squad_Team_Summary!$E:$E)-_xlfn.XLOOKUP(D113,Squad_Team_Summary!$A:$A,Squad_Team_Summary!$E:$E)</f>
        <v>0.76920000000000011</v>
      </c>
      <c r="Q113">
        <f>_xlfn.XLOOKUP(C113,Squad_Team_Summary!$A:$A,Squad_Team_Summary!$F:$F)-_xlfn.XLOOKUP(D113,Squad_Team_Summary!$A:$A,Squad_Team_Summary!$F:$F)</f>
        <v>5.6537999999999897</v>
      </c>
      <c r="R113">
        <f>_xlfn.XLOOKUP(C113,Squad_Team_Summary!$A:$A,Squad_Team_Summary!$H:$H)-_xlfn.XLOOKUP(D113,Squad_Team_Summary!$A:$A,Squad_Team_Summary!$H:$H)</f>
        <v>-0.65390000000000004</v>
      </c>
    </row>
    <row r="114" spans="1:18" x14ac:dyDescent="0.3">
      <c r="A114">
        <v>400021473</v>
      </c>
      <c r="B114" t="s">
        <v>78</v>
      </c>
      <c r="C114" t="s">
        <v>44</v>
      </c>
      <c r="D114" t="s">
        <v>38</v>
      </c>
      <c r="E114" t="s">
        <v>17</v>
      </c>
      <c r="F114">
        <v>1</v>
      </c>
      <c r="G114">
        <v>-277.16000000000003</v>
      </c>
      <c r="H114">
        <v>0</v>
      </c>
      <c r="I114">
        <v>-2</v>
      </c>
      <c r="J114">
        <v>2</v>
      </c>
      <c r="K114">
        <v>-1.3332999999999999</v>
      </c>
      <c r="L114">
        <v>-1.1299999999999999</v>
      </c>
      <c r="M114">
        <v>-1</v>
      </c>
      <c r="N114">
        <v>-1</v>
      </c>
      <c r="O114">
        <f>_xlfn.XLOOKUP(C114,Squad_Team_Summary!$A:$A,Squad_Team_Summary!$D:$D)-_xlfn.XLOOKUP(D114,Squad_Team_Summary!$A:$A,Squad_Team_Summary!$D:$D)</f>
        <v>-11.461600000000001</v>
      </c>
      <c r="P114">
        <f>_xlfn.XLOOKUP(C114,Squad_Team_Summary!$A:$A,Squad_Team_Summary!$E:$E)-_xlfn.XLOOKUP(D114,Squad_Team_Summary!$A:$A,Squad_Team_Summary!$E:$E)</f>
        <v>-4.5383999999999993</v>
      </c>
      <c r="Q114">
        <f>_xlfn.XLOOKUP(C114,Squad_Team_Summary!$A:$A,Squad_Team_Summary!$F:$F)-_xlfn.XLOOKUP(D114,Squad_Team_Summary!$A:$A,Squad_Team_Summary!$F:$F)</f>
        <v>-0.57689999999999486</v>
      </c>
      <c r="R114">
        <f>_xlfn.XLOOKUP(C114,Squad_Team_Summary!$A:$A,Squad_Team_Summary!$H:$H)-_xlfn.XLOOKUP(D114,Squad_Team_Summary!$A:$A,Squad_Team_Summary!$H:$H)</f>
        <v>-0.15390000000000004</v>
      </c>
    </row>
    <row r="115" spans="1:18" x14ac:dyDescent="0.3">
      <c r="A115">
        <v>400021473</v>
      </c>
      <c r="B115" t="s">
        <v>78</v>
      </c>
      <c r="C115" t="s">
        <v>38</v>
      </c>
      <c r="D115" t="s">
        <v>44</v>
      </c>
      <c r="E115" t="s">
        <v>18</v>
      </c>
      <c r="F115">
        <v>3</v>
      </c>
      <c r="G115">
        <v>277.16000000000003</v>
      </c>
      <c r="H115">
        <v>0</v>
      </c>
      <c r="I115">
        <v>2</v>
      </c>
      <c r="J115">
        <v>-2</v>
      </c>
      <c r="K115">
        <v>1.3332999999999999</v>
      </c>
      <c r="L115">
        <v>1.1299999999999999</v>
      </c>
      <c r="M115">
        <v>1</v>
      </c>
      <c r="N115">
        <v>1</v>
      </c>
      <c r="O115">
        <f>_xlfn.XLOOKUP(C115,Squad_Team_Summary!$A:$A,Squad_Team_Summary!$D:$D)-_xlfn.XLOOKUP(D115,Squad_Team_Summary!$A:$A,Squad_Team_Summary!$D:$D)</f>
        <v>11.461600000000001</v>
      </c>
      <c r="P115">
        <f>_xlfn.XLOOKUP(C115,Squad_Team_Summary!$A:$A,Squad_Team_Summary!$E:$E)-_xlfn.XLOOKUP(D115,Squad_Team_Summary!$A:$A,Squad_Team_Summary!$E:$E)</f>
        <v>4.5383999999999993</v>
      </c>
      <c r="Q115">
        <f>_xlfn.XLOOKUP(C115,Squad_Team_Summary!$A:$A,Squad_Team_Summary!$F:$F)-_xlfn.XLOOKUP(D115,Squad_Team_Summary!$A:$A,Squad_Team_Summary!$F:$F)</f>
        <v>0.57689999999999486</v>
      </c>
      <c r="R115">
        <f>_xlfn.XLOOKUP(C115,Squad_Team_Summary!$A:$A,Squad_Team_Summary!$H:$H)-_xlfn.XLOOKUP(D115,Squad_Team_Summary!$A:$A,Squad_Team_Summary!$H:$H)</f>
        <v>0.15390000000000004</v>
      </c>
    </row>
    <row r="116" spans="1:18" x14ac:dyDescent="0.3">
      <c r="A116">
        <v>400021471</v>
      </c>
      <c r="B116" t="s">
        <v>78</v>
      </c>
      <c r="C116" t="s">
        <v>39</v>
      </c>
      <c r="D116" t="s">
        <v>43</v>
      </c>
      <c r="E116" t="s">
        <v>17</v>
      </c>
      <c r="F116">
        <v>1</v>
      </c>
      <c r="G116">
        <v>151.79</v>
      </c>
      <c r="H116">
        <v>0</v>
      </c>
      <c r="I116">
        <v>0</v>
      </c>
      <c r="J116">
        <v>-1.3332999999999999</v>
      </c>
      <c r="K116">
        <v>0.33329999999999999</v>
      </c>
      <c r="L116">
        <v>-6.2E-2</v>
      </c>
      <c r="M116">
        <v>-1</v>
      </c>
      <c r="N116">
        <v>-1</v>
      </c>
      <c r="O116">
        <f>_xlfn.XLOOKUP(C116,Squad_Team_Summary!$A:$A,Squad_Team_Summary!$D:$D)-_xlfn.XLOOKUP(D116,Squad_Team_Summary!$A:$A,Squad_Team_Summary!$D:$D)</f>
        <v>11.230799999999999</v>
      </c>
      <c r="P116">
        <f>_xlfn.XLOOKUP(C116,Squad_Team_Summary!$A:$A,Squad_Team_Summary!$E:$E)-_xlfn.XLOOKUP(D116,Squad_Team_Summary!$A:$A,Squad_Team_Summary!$E:$E)</f>
        <v>1.8846000000000003</v>
      </c>
      <c r="Q116">
        <f>_xlfn.XLOOKUP(C116,Squad_Team_Summary!$A:$A,Squad_Team_Summary!$F:$F)-_xlfn.XLOOKUP(D116,Squad_Team_Summary!$A:$A,Squad_Team_Summary!$F:$F)</f>
        <v>-4.5768999999999949</v>
      </c>
      <c r="R116">
        <f>_xlfn.XLOOKUP(C116,Squad_Team_Summary!$A:$A,Squad_Team_Summary!$H:$H)-_xlfn.XLOOKUP(D116,Squad_Team_Summary!$A:$A,Squad_Team_Summary!$H:$H)</f>
        <v>0</v>
      </c>
    </row>
    <row r="117" spans="1:18" x14ac:dyDescent="0.3">
      <c r="A117">
        <v>400021471</v>
      </c>
      <c r="B117" t="s">
        <v>78</v>
      </c>
      <c r="C117" t="s">
        <v>43</v>
      </c>
      <c r="D117" t="s">
        <v>39</v>
      </c>
      <c r="E117" t="s">
        <v>18</v>
      </c>
      <c r="F117">
        <v>1</v>
      </c>
      <c r="G117">
        <v>-151.79</v>
      </c>
      <c r="H117">
        <v>0</v>
      </c>
      <c r="I117">
        <v>0</v>
      </c>
      <c r="J117">
        <v>1.3332999999999999</v>
      </c>
      <c r="K117">
        <v>-0.33329999999999999</v>
      </c>
      <c r="L117">
        <v>6.2E-2</v>
      </c>
      <c r="M117">
        <v>1</v>
      </c>
      <c r="N117">
        <v>1</v>
      </c>
      <c r="O117">
        <f>_xlfn.XLOOKUP(C117,Squad_Team_Summary!$A:$A,Squad_Team_Summary!$D:$D)-_xlfn.XLOOKUP(D117,Squad_Team_Summary!$A:$A,Squad_Team_Summary!$D:$D)</f>
        <v>-11.230799999999999</v>
      </c>
      <c r="P117">
        <f>_xlfn.XLOOKUP(C117,Squad_Team_Summary!$A:$A,Squad_Team_Summary!$E:$E)-_xlfn.XLOOKUP(D117,Squad_Team_Summary!$A:$A,Squad_Team_Summary!$E:$E)</f>
        <v>-1.8846000000000003</v>
      </c>
      <c r="Q117">
        <f>_xlfn.XLOOKUP(C117,Squad_Team_Summary!$A:$A,Squad_Team_Summary!$F:$F)-_xlfn.XLOOKUP(D117,Squad_Team_Summary!$A:$A,Squad_Team_Summary!$F:$F)</f>
        <v>4.5768999999999949</v>
      </c>
      <c r="R117">
        <f>_xlfn.XLOOKUP(C117,Squad_Team_Summary!$A:$A,Squad_Team_Summary!$H:$H)-_xlfn.XLOOKUP(D117,Squad_Team_Summary!$A:$A,Squad_Team_Summary!$H:$H)</f>
        <v>0</v>
      </c>
    </row>
    <row r="118" spans="1:18" x14ac:dyDescent="0.3">
      <c r="A118">
        <v>400021461</v>
      </c>
      <c r="B118" t="s">
        <v>79</v>
      </c>
      <c r="C118" t="s">
        <v>26</v>
      </c>
      <c r="D118" t="s">
        <v>34</v>
      </c>
      <c r="E118" t="s">
        <v>17</v>
      </c>
      <c r="F118">
        <v>0</v>
      </c>
      <c r="G118">
        <v>-73.989999999999995</v>
      </c>
      <c r="H118">
        <v>0</v>
      </c>
      <c r="I118">
        <v>0</v>
      </c>
      <c r="J118">
        <v>0.66669999999999996</v>
      </c>
      <c r="K118">
        <v>0</v>
      </c>
      <c r="L118">
        <v>1.643</v>
      </c>
      <c r="M118">
        <v>-1</v>
      </c>
      <c r="N118">
        <v>1</v>
      </c>
      <c r="O118">
        <f>_xlfn.XLOOKUP(C118,Squad_Team_Summary!$A:$A,Squad_Team_Summary!$D:$D)-_xlfn.XLOOKUP(D118,Squad_Team_Summary!$A:$A,Squad_Team_Summary!$D:$D)</f>
        <v>-1.1154000000000011</v>
      </c>
      <c r="P118">
        <f>_xlfn.XLOOKUP(C118,Squad_Team_Summary!$A:$A,Squad_Team_Summary!$E:$E)-_xlfn.XLOOKUP(D118,Squad_Team_Summary!$A:$A,Squad_Team_Summary!$E:$E)</f>
        <v>-0.73079999999999989</v>
      </c>
      <c r="Q118">
        <f>_xlfn.XLOOKUP(C118,Squad_Team_Summary!$A:$A,Squad_Team_Summary!$F:$F)-_xlfn.XLOOKUP(D118,Squad_Team_Summary!$A:$A,Squad_Team_Summary!$F:$F)</f>
        <v>-1.9615000000000009</v>
      </c>
      <c r="R118">
        <f>_xlfn.XLOOKUP(C118,Squad_Team_Summary!$A:$A,Squad_Team_Summary!$H:$H)-_xlfn.XLOOKUP(D118,Squad_Team_Summary!$A:$A,Squad_Team_Summary!$H:$H)</f>
        <v>7.6900000000000079E-2</v>
      </c>
    </row>
    <row r="119" spans="1:18" x14ac:dyDescent="0.3">
      <c r="A119">
        <v>400021461</v>
      </c>
      <c r="B119" t="s">
        <v>79</v>
      </c>
      <c r="C119" t="s">
        <v>34</v>
      </c>
      <c r="D119" t="s">
        <v>26</v>
      </c>
      <c r="E119" t="s">
        <v>18</v>
      </c>
      <c r="F119">
        <v>0</v>
      </c>
      <c r="G119">
        <v>73.989999999999995</v>
      </c>
      <c r="H119">
        <v>0</v>
      </c>
      <c r="I119">
        <v>0</v>
      </c>
      <c r="J119">
        <v>-0.66669999999999996</v>
      </c>
      <c r="K119">
        <v>0</v>
      </c>
      <c r="L119">
        <v>-1.643</v>
      </c>
      <c r="M119">
        <v>1</v>
      </c>
      <c r="N119">
        <v>-1</v>
      </c>
      <c r="O119">
        <f>_xlfn.XLOOKUP(C119,Squad_Team_Summary!$A:$A,Squad_Team_Summary!$D:$D)-_xlfn.XLOOKUP(D119,Squad_Team_Summary!$A:$A,Squad_Team_Summary!$D:$D)</f>
        <v>1.1154000000000011</v>
      </c>
      <c r="P119">
        <f>_xlfn.XLOOKUP(C119,Squad_Team_Summary!$A:$A,Squad_Team_Summary!$E:$E)-_xlfn.XLOOKUP(D119,Squad_Team_Summary!$A:$A,Squad_Team_Summary!$E:$E)</f>
        <v>0.73079999999999989</v>
      </c>
      <c r="Q119">
        <f>_xlfn.XLOOKUP(C119,Squad_Team_Summary!$A:$A,Squad_Team_Summary!$F:$F)-_xlfn.XLOOKUP(D119,Squad_Team_Summary!$A:$A,Squad_Team_Summary!$F:$F)</f>
        <v>1.9615000000000009</v>
      </c>
      <c r="R119">
        <f>_xlfn.XLOOKUP(C119,Squad_Team_Summary!$A:$A,Squad_Team_Summary!$H:$H)-_xlfn.XLOOKUP(D119,Squad_Team_Summary!$A:$A,Squad_Team_Summary!$H:$H)</f>
        <v>-7.6900000000000079E-2</v>
      </c>
    </row>
    <row r="120" spans="1:18" x14ac:dyDescent="0.3">
      <c r="A120">
        <v>400021459</v>
      </c>
      <c r="B120" t="s">
        <v>79</v>
      </c>
      <c r="C120" t="s">
        <v>35</v>
      </c>
      <c r="D120" t="s">
        <v>25</v>
      </c>
      <c r="E120" t="s">
        <v>17</v>
      </c>
      <c r="F120">
        <v>3</v>
      </c>
      <c r="G120">
        <v>-65.5</v>
      </c>
      <c r="H120">
        <v>-1</v>
      </c>
      <c r="I120">
        <v>-2</v>
      </c>
      <c r="J120">
        <v>0.66669999999999996</v>
      </c>
      <c r="K120">
        <v>-2</v>
      </c>
      <c r="L120">
        <v>0.76700000000000002</v>
      </c>
      <c r="M120">
        <v>-1</v>
      </c>
      <c r="N120">
        <v>1</v>
      </c>
      <c r="O120">
        <f>_xlfn.XLOOKUP(C120,Squad_Team_Summary!$A:$A,Squad_Team_Summary!$D:$D)-_xlfn.XLOOKUP(D120,Squad_Team_Summary!$A:$A,Squad_Team_Summary!$D:$D)</f>
        <v>-0.69230000000000302</v>
      </c>
      <c r="P120">
        <f>_xlfn.XLOOKUP(C120,Squad_Team_Summary!$A:$A,Squad_Team_Summary!$E:$E)-_xlfn.XLOOKUP(D120,Squad_Team_Summary!$A:$A,Squad_Team_Summary!$E:$E)</f>
        <v>-1.3076000000000003</v>
      </c>
      <c r="Q120">
        <f>_xlfn.XLOOKUP(C120,Squad_Team_Summary!$A:$A,Squad_Team_Summary!$F:$F)-_xlfn.XLOOKUP(D120,Squad_Team_Summary!$A:$A,Squad_Team_Summary!$F:$F)</f>
        <v>0.38460000000000605</v>
      </c>
      <c r="R120">
        <f>_xlfn.XLOOKUP(C120,Squad_Team_Summary!$A:$A,Squad_Team_Summary!$H:$H)-_xlfn.XLOOKUP(D120,Squad_Team_Summary!$A:$A,Squad_Team_Summary!$H:$H)</f>
        <v>-0.30770000000000003</v>
      </c>
    </row>
    <row r="121" spans="1:18" x14ac:dyDescent="0.3">
      <c r="A121">
        <v>400021459</v>
      </c>
      <c r="B121" t="s">
        <v>79</v>
      </c>
      <c r="C121" t="s">
        <v>25</v>
      </c>
      <c r="D121" t="s">
        <v>35</v>
      </c>
      <c r="E121" t="s">
        <v>18</v>
      </c>
      <c r="F121">
        <v>2</v>
      </c>
      <c r="G121">
        <v>65.5</v>
      </c>
      <c r="H121">
        <v>1</v>
      </c>
      <c r="I121">
        <v>2</v>
      </c>
      <c r="J121">
        <v>-0.66669999999999996</v>
      </c>
      <c r="K121">
        <v>2</v>
      </c>
      <c r="L121">
        <v>-0.76700000000000002</v>
      </c>
      <c r="M121">
        <v>1</v>
      </c>
      <c r="N121">
        <v>-1</v>
      </c>
      <c r="O121">
        <f>_xlfn.XLOOKUP(C121,Squad_Team_Summary!$A:$A,Squad_Team_Summary!$D:$D)-_xlfn.XLOOKUP(D121,Squad_Team_Summary!$A:$A,Squad_Team_Summary!$D:$D)</f>
        <v>0.69230000000000302</v>
      </c>
      <c r="P121">
        <f>_xlfn.XLOOKUP(C121,Squad_Team_Summary!$A:$A,Squad_Team_Summary!$E:$E)-_xlfn.XLOOKUP(D121,Squad_Team_Summary!$A:$A,Squad_Team_Summary!$E:$E)</f>
        <v>1.3076000000000003</v>
      </c>
      <c r="Q121">
        <f>_xlfn.XLOOKUP(C121,Squad_Team_Summary!$A:$A,Squad_Team_Summary!$F:$F)-_xlfn.XLOOKUP(D121,Squad_Team_Summary!$A:$A,Squad_Team_Summary!$F:$F)</f>
        <v>-0.38460000000000605</v>
      </c>
      <c r="R121">
        <f>_xlfn.XLOOKUP(C121,Squad_Team_Summary!$A:$A,Squad_Team_Summary!$H:$H)-_xlfn.XLOOKUP(D121,Squad_Team_Summary!$A:$A,Squad_Team_Summary!$H:$H)</f>
        <v>0.30770000000000003</v>
      </c>
    </row>
    <row r="122" spans="1:18" x14ac:dyDescent="0.3">
      <c r="A122">
        <v>400021493</v>
      </c>
      <c r="B122" t="s">
        <v>79</v>
      </c>
      <c r="C122" t="s">
        <v>55</v>
      </c>
      <c r="D122" t="s">
        <v>56</v>
      </c>
      <c r="E122" t="s">
        <v>17</v>
      </c>
      <c r="F122">
        <v>5</v>
      </c>
      <c r="G122">
        <v>237.79</v>
      </c>
      <c r="H122">
        <v>0</v>
      </c>
      <c r="I122">
        <v>0.66669999999999996</v>
      </c>
      <c r="J122">
        <v>-0.33329999999999999</v>
      </c>
      <c r="K122">
        <v>0</v>
      </c>
      <c r="L122">
        <v>0.17199999999999999</v>
      </c>
      <c r="M122">
        <v>-1</v>
      </c>
      <c r="N122">
        <v>0</v>
      </c>
      <c r="O122">
        <f>_xlfn.XLOOKUP(C122,Squad_Team_Summary!$A:$A,Squad_Team_Summary!$D:$D)-_xlfn.XLOOKUP(D122,Squad_Team_Summary!$A:$A,Squad_Team_Summary!$D:$D)</f>
        <v>7.8460999999999999</v>
      </c>
      <c r="P122">
        <f>_xlfn.XLOOKUP(C122,Squad_Team_Summary!$A:$A,Squad_Team_Summary!$E:$E)-_xlfn.XLOOKUP(D122,Squad_Team_Summary!$A:$A,Squad_Team_Summary!$E:$E)</f>
        <v>2</v>
      </c>
      <c r="Q122">
        <f>_xlfn.XLOOKUP(C122,Squad_Team_Summary!$A:$A,Squad_Team_Summary!$F:$F)-_xlfn.XLOOKUP(D122,Squad_Team_Summary!$A:$A,Squad_Team_Summary!$F:$F)</f>
        <v>0.92300000000000182</v>
      </c>
      <c r="R122">
        <f>_xlfn.XLOOKUP(C122,Squad_Team_Summary!$A:$A,Squad_Team_Summary!$H:$H)-_xlfn.XLOOKUP(D122,Squad_Team_Summary!$A:$A,Squad_Team_Summary!$H:$H)</f>
        <v>0.38460000000000005</v>
      </c>
    </row>
    <row r="123" spans="1:18" x14ac:dyDescent="0.3">
      <c r="A123">
        <v>400021493</v>
      </c>
      <c r="B123" t="s">
        <v>79</v>
      </c>
      <c r="C123" t="s">
        <v>56</v>
      </c>
      <c r="D123" t="s">
        <v>55</v>
      </c>
      <c r="E123" t="s">
        <v>18</v>
      </c>
      <c r="F123">
        <v>0</v>
      </c>
      <c r="G123">
        <v>-237.79</v>
      </c>
      <c r="H123">
        <v>0</v>
      </c>
      <c r="I123">
        <v>-0.66669999999999996</v>
      </c>
      <c r="J123">
        <v>0.33329999999999999</v>
      </c>
      <c r="K123">
        <v>0</v>
      </c>
      <c r="L123">
        <v>-0.17199999999999999</v>
      </c>
      <c r="M123">
        <v>1</v>
      </c>
      <c r="N123">
        <v>0</v>
      </c>
      <c r="O123">
        <f>_xlfn.XLOOKUP(C123,Squad_Team_Summary!$A:$A,Squad_Team_Summary!$D:$D)-_xlfn.XLOOKUP(D123,Squad_Team_Summary!$A:$A,Squad_Team_Summary!$D:$D)</f>
        <v>-7.8460999999999999</v>
      </c>
      <c r="P123">
        <f>_xlfn.XLOOKUP(C123,Squad_Team_Summary!$A:$A,Squad_Team_Summary!$E:$E)-_xlfn.XLOOKUP(D123,Squad_Team_Summary!$A:$A,Squad_Team_Summary!$E:$E)</f>
        <v>-2</v>
      </c>
      <c r="Q123">
        <f>_xlfn.XLOOKUP(C123,Squad_Team_Summary!$A:$A,Squad_Team_Summary!$F:$F)-_xlfn.XLOOKUP(D123,Squad_Team_Summary!$A:$A,Squad_Team_Summary!$F:$F)</f>
        <v>-0.92300000000000182</v>
      </c>
      <c r="R123">
        <f>_xlfn.XLOOKUP(C123,Squad_Team_Summary!$A:$A,Squad_Team_Summary!$H:$H)-_xlfn.XLOOKUP(D123,Squad_Team_Summary!$A:$A,Squad_Team_Summary!$H:$H)</f>
        <v>-0.38460000000000005</v>
      </c>
    </row>
    <row r="124" spans="1:18" x14ac:dyDescent="0.3">
      <c r="A124">
        <v>400021489</v>
      </c>
      <c r="B124" t="s">
        <v>79</v>
      </c>
      <c r="C124" t="s">
        <v>57</v>
      </c>
      <c r="D124" t="s">
        <v>54</v>
      </c>
      <c r="E124" t="s">
        <v>17</v>
      </c>
      <c r="F124">
        <v>1</v>
      </c>
      <c r="G124">
        <v>-313.26</v>
      </c>
      <c r="H124">
        <v>0</v>
      </c>
      <c r="I124">
        <v>0.33329999999999999</v>
      </c>
      <c r="J124">
        <v>0.66669999999999996</v>
      </c>
      <c r="K124">
        <v>0</v>
      </c>
      <c r="L124">
        <v>-0.19700000000000001</v>
      </c>
      <c r="M124">
        <v>-1</v>
      </c>
      <c r="N124">
        <v>0</v>
      </c>
      <c r="O124">
        <f>_xlfn.XLOOKUP(C124,Squad_Team_Summary!$A:$A,Squad_Team_Summary!$D:$D)-_xlfn.XLOOKUP(D124,Squad_Team_Summary!$A:$A,Squad_Team_Summary!$D:$D)</f>
        <v>-1.1154000000000011</v>
      </c>
      <c r="P124">
        <f>_xlfn.XLOOKUP(C124,Squad_Team_Summary!$A:$A,Squad_Team_Summary!$E:$E)-_xlfn.XLOOKUP(D124,Squad_Team_Summary!$A:$A,Squad_Team_Summary!$E:$E)</f>
        <v>0.5</v>
      </c>
      <c r="Q124">
        <f>_xlfn.XLOOKUP(C124,Squad_Team_Summary!$A:$A,Squad_Team_Summary!$F:$F)-_xlfn.XLOOKUP(D124,Squad_Team_Summary!$A:$A,Squad_Team_Summary!$F:$F)</f>
        <v>2.2306999999999846</v>
      </c>
      <c r="R124">
        <f>_xlfn.XLOOKUP(C124,Squad_Team_Summary!$A:$A,Squad_Team_Summary!$H:$H)-_xlfn.XLOOKUP(D124,Squad_Team_Summary!$A:$A,Squad_Team_Summary!$H:$H)</f>
        <v>0.15389999999999993</v>
      </c>
    </row>
    <row r="125" spans="1:18" x14ac:dyDescent="0.3">
      <c r="A125">
        <v>400021489</v>
      </c>
      <c r="B125" t="s">
        <v>79</v>
      </c>
      <c r="C125" t="s">
        <v>54</v>
      </c>
      <c r="D125" t="s">
        <v>57</v>
      </c>
      <c r="E125" t="s">
        <v>18</v>
      </c>
      <c r="F125">
        <v>4</v>
      </c>
      <c r="G125">
        <v>313.26</v>
      </c>
      <c r="H125">
        <v>0</v>
      </c>
      <c r="I125">
        <v>-0.33329999999999999</v>
      </c>
      <c r="J125">
        <v>-0.66669999999999996</v>
      </c>
      <c r="K125">
        <v>0</v>
      </c>
      <c r="L125">
        <v>0.19700000000000001</v>
      </c>
      <c r="M125">
        <v>1</v>
      </c>
      <c r="N125">
        <v>0</v>
      </c>
      <c r="O125">
        <f>_xlfn.XLOOKUP(C125,Squad_Team_Summary!$A:$A,Squad_Team_Summary!$D:$D)-_xlfn.XLOOKUP(D125,Squad_Team_Summary!$A:$A,Squad_Team_Summary!$D:$D)</f>
        <v>1.1154000000000011</v>
      </c>
      <c r="P125">
        <f>_xlfn.XLOOKUP(C125,Squad_Team_Summary!$A:$A,Squad_Team_Summary!$E:$E)-_xlfn.XLOOKUP(D125,Squad_Team_Summary!$A:$A,Squad_Team_Summary!$E:$E)</f>
        <v>-0.5</v>
      </c>
      <c r="Q125">
        <f>_xlfn.XLOOKUP(C125,Squad_Team_Summary!$A:$A,Squad_Team_Summary!$F:$F)-_xlfn.XLOOKUP(D125,Squad_Team_Summary!$A:$A,Squad_Team_Summary!$F:$F)</f>
        <v>-2.2306999999999846</v>
      </c>
      <c r="R125">
        <f>_xlfn.XLOOKUP(C125,Squad_Team_Summary!$A:$A,Squad_Team_Summary!$H:$H)-_xlfn.XLOOKUP(D125,Squad_Team_Summary!$A:$A,Squad_Team_Summary!$H:$H)</f>
        <v>-0.15389999999999993</v>
      </c>
    </row>
    <row r="126" spans="1:18" x14ac:dyDescent="0.3">
      <c r="A126">
        <v>400021484</v>
      </c>
      <c r="B126" t="s">
        <v>80</v>
      </c>
      <c r="C126" t="s">
        <v>50</v>
      </c>
      <c r="D126" t="s">
        <v>45</v>
      </c>
      <c r="E126" t="s">
        <v>17</v>
      </c>
      <c r="F126">
        <v>0</v>
      </c>
      <c r="G126">
        <v>-201.64</v>
      </c>
      <c r="H126">
        <v>0</v>
      </c>
      <c r="I126">
        <v>-0.33329999999999999</v>
      </c>
      <c r="J126">
        <v>1</v>
      </c>
      <c r="K126">
        <v>-0.66669999999999996</v>
      </c>
      <c r="L126">
        <v>1.9950000000000001</v>
      </c>
      <c r="M126">
        <v>0</v>
      </c>
      <c r="N126">
        <v>0</v>
      </c>
      <c r="O126">
        <f>_xlfn.XLOOKUP(C126,Squad_Team_Summary!$A:$A,Squad_Team_Summary!$D:$D)-_xlfn.XLOOKUP(D126,Squad_Team_Summary!$A:$A,Squad_Team_Summary!$D:$D)</f>
        <v>3.9615000000000009</v>
      </c>
      <c r="P126">
        <f>_xlfn.XLOOKUP(C126,Squad_Team_Summary!$A:$A,Squad_Team_Summary!$E:$E)-_xlfn.XLOOKUP(D126,Squad_Team_Summary!$A:$A,Squad_Team_Summary!$E:$E)</f>
        <v>-2.0385</v>
      </c>
      <c r="Q126">
        <f>_xlfn.XLOOKUP(C126,Squad_Team_Summary!$A:$A,Squad_Team_Summary!$F:$F)-_xlfn.XLOOKUP(D126,Squad_Team_Summary!$A:$A,Squad_Team_Summary!$F:$F)</f>
        <v>-1.269299999999987</v>
      </c>
      <c r="R126">
        <f>_xlfn.XLOOKUP(C126,Squad_Team_Summary!$A:$A,Squad_Team_Summary!$H:$H)-_xlfn.XLOOKUP(D126,Squad_Team_Summary!$A:$A,Squad_Team_Summary!$H:$H)</f>
        <v>0.65379999999999994</v>
      </c>
    </row>
    <row r="127" spans="1:18" x14ac:dyDescent="0.3">
      <c r="A127">
        <v>400021484</v>
      </c>
      <c r="B127" t="s">
        <v>80</v>
      </c>
      <c r="C127" t="s">
        <v>45</v>
      </c>
      <c r="D127" t="s">
        <v>50</v>
      </c>
      <c r="E127" t="s">
        <v>18</v>
      </c>
      <c r="F127">
        <v>1</v>
      </c>
      <c r="G127">
        <v>201.64</v>
      </c>
      <c r="H127">
        <v>0</v>
      </c>
      <c r="I127">
        <v>0.33329999999999999</v>
      </c>
      <c r="J127">
        <v>-1</v>
      </c>
      <c r="K127">
        <v>0.66669999999999996</v>
      </c>
      <c r="L127">
        <v>-1.9950000000000001</v>
      </c>
      <c r="M127">
        <v>0</v>
      </c>
      <c r="N127">
        <v>0</v>
      </c>
      <c r="O127">
        <f>_xlfn.XLOOKUP(C127,Squad_Team_Summary!$A:$A,Squad_Team_Summary!$D:$D)-_xlfn.XLOOKUP(D127,Squad_Team_Summary!$A:$A,Squad_Team_Summary!$D:$D)</f>
        <v>-3.9615000000000009</v>
      </c>
      <c r="P127">
        <f>_xlfn.XLOOKUP(C127,Squad_Team_Summary!$A:$A,Squad_Team_Summary!$E:$E)-_xlfn.XLOOKUP(D127,Squad_Team_Summary!$A:$A,Squad_Team_Summary!$E:$E)</f>
        <v>2.0385</v>
      </c>
      <c r="Q127">
        <f>_xlfn.XLOOKUP(C127,Squad_Team_Summary!$A:$A,Squad_Team_Summary!$F:$F)-_xlfn.XLOOKUP(D127,Squad_Team_Summary!$A:$A,Squad_Team_Summary!$F:$F)</f>
        <v>1.269299999999987</v>
      </c>
      <c r="R127">
        <f>_xlfn.XLOOKUP(C127,Squad_Team_Summary!$A:$A,Squad_Team_Summary!$H:$H)-_xlfn.XLOOKUP(D127,Squad_Team_Summary!$A:$A,Squad_Team_Summary!$H:$H)</f>
        <v>-0.65379999999999994</v>
      </c>
    </row>
    <row r="128" spans="1:18" x14ac:dyDescent="0.3">
      <c r="A128">
        <v>400021485</v>
      </c>
      <c r="B128" t="s">
        <v>80</v>
      </c>
      <c r="C128" t="s">
        <v>46</v>
      </c>
      <c r="D128" t="s">
        <v>49</v>
      </c>
      <c r="E128" t="s">
        <v>17</v>
      </c>
      <c r="F128">
        <v>0</v>
      </c>
      <c r="G128">
        <v>-52.77</v>
      </c>
      <c r="H128">
        <v>0</v>
      </c>
      <c r="I128">
        <v>0.33329999999999999</v>
      </c>
      <c r="J128">
        <v>-1</v>
      </c>
      <c r="K128">
        <v>0.33329999999999999</v>
      </c>
      <c r="L128">
        <v>1.1599999999999999</v>
      </c>
      <c r="M128">
        <v>0</v>
      </c>
      <c r="N128">
        <v>0</v>
      </c>
      <c r="O128">
        <f>_xlfn.XLOOKUP(C128,Squad_Team_Summary!$A:$A,Squad_Team_Summary!$D:$D)-_xlfn.XLOOKUP(D128,Squad_Team_Summary!$A:$A,Squad_Team_Summary!$D:$D)</f>
        <v>-3.2691999999999979</v>
      </c>
      <c r="P128">
        <f>_xlfn.XLOOKUP(C128,Squad_Team_Summary!$A:$A,Squad_Team_Summary!$E:$E)-_xlfn.XLOOKUP(D128,Squad_Team_Summary!$A:$A,Squad_Team_Summary!$E:$E)</f>
        <v>-0.69229999999999992</v>
      </c>
      <c r="Q128">
        <f>_xlfn.XLOOKUP(C128,Squad_Team_Summary!$A:$A,Squad_Team_Summary!$F:$F)-_xlfn.XLOOKUP(D128,Squad_Team_Summary!$A:$A,Squad_Team_Summary!$F:$F)</f>
        <v>2.9231000000000051</v>
      </c>
      <c r="R128">
        <f>_xlfn.XLOOKUP(C128,Squad_Team_Summary!$A:$A,Squad_Team_Summary!$H:$H)-_xlfn.XLOOKUP(D128,Squad_Team_Summary!$A:$A,Squad_Team_Summary!$H:$H)</f>
        <v>0.96150000000000002</v>
      </c>
    </row>
    <row r="129" spans="1:18" x14ac:dyDescent="0.3">
      <c r="A129">
        <v>400021485</v>
      </c>
      <c r="B129" t="s">
        <v>80</v>
      </c>
      <c r="C129" t="s">
        <v>49</v>
      </c>
      <c r="D129" t="s">
        <v>46</v>
      </c>
      <c r="E129" t="s">
        <v>18</v>
      </c>
      <c r="F129">
        <v>0</v>
      </c>
      <c r="G129">
        <v>52.77</v>
      </c>
      <c r="H129">
        <v>0</v>
      </c>
      <c r="I129">
        <v>-0.33329999999999999</v>
      </c>
      <c r="J129">
        <v>1</v>
      </c>
      <c r="K129">
        <v>-0.33329999999999999</v>
      </c>
      <c r="L129">
        <v>-1.1599999999999999</v>
      </c>
      <c r="M129">
        <v>0</v>
      </c>
      <c r="N129">
        <v>0</v>
      </c>
      <c r="O129">
        <f>_xlfn.XLOOKUP(C129,Squad_Team_Summary!$A:$A,Squad_Team_Summary!$D:$D)-_xlfn.XLOOKUP(D129,Squad_Team_Summary!$A:$A,Squad_Team_Summary!$D:$D)</f>
        <v>3.2691999999999979</v>
      </c>
      <c r="P129">
        <f>_xlfn.XLOOKUP(C129,Squad_Team_Summary!$A:$A,Squad_Team_Summary!$E:$E)-_xlfn.XLOOKUP(D129,Squad_Team_Summary!$A:$A,Squad_Team_Summary!$E:$E)</f>
        <v>0.69229999999999992</v>
      </c>
      <c r="Q129">
        <f>_xlfn.XLOOKUP(C129,Squad_Team_Summary!$A:$A,Squad_Team_Summary!$F:$F)-_xlfn.XLOOKUP(D129,Squad_Team_Summary!$A:$A,Squad_Team_Summary!$F:$F)</f>
        <v>-2.9231000000000051</v>
      </c>
      <c r="R129">
        <f>_xlfn.XLOOKUP(C129,Squad_Team_Summary!$A:$A,Squad_Team_Summary!$H:$H)-_xlfn.XLOOKUP(D129,Squad_Team_Summary!$A:$A,Squad_Team_Summary!$H:$H)</f>
        <v>-0.96150000000000002</v>
      </c>
    </row>
    <row r="130" spans="1:18" x14ac:dyDescent="0.3">
      <c r="A130">
        <v>400021481</v>
      </c>
      <c r="B130" t="s">
        <v>80</v>
      </c>
      <c r="C130" t="s">
        <v>53</v>
      </c>
      <c r="D130" t="s">
        <v>47</v>
      </c>
      <c r="E130" t="s">
        <v>17</v>
      </c>
      <c r="F130">
        <v>1</v>
      </c>
      <c r="G130">
        <v>-466.66</v>
      </c>
      <c r="H130">
        <v>0</v>
      </c>
      <c r="I130">
        <v>0.66669999999999996</v>
      </c>
      <c r="J130">
        <v>1.3332999999999999</v>
      </c>
      <c r="K130">
        <v>-0.33329999999999999</v>
      </c>
      <c r="L130">
        <v>0.65300000000000002</v>
      </c>
      <c r="M130">
        <v>-1</v>
      </c>
      <c r="N130">
        <v>-1</v>
      </c>
      <c r="O130">
        <f>_xlfn.XLOOKUP(C130,Squad_Team_Summary!$A:$A,Squad_Team_Summary!$D:$D)-_xlfn.XLOOKUP(D130,Squad_Team_Summary!$A:$A,Squad_Team_Summary!$D:$D)</f>
        <v>-11.615299999999998</v>
      </c>
      <c r="P130">
        <f>_xlfn.XLOOKUP(C130,Squad_Team_Summary!$A:$A,Squad_Team_Summary!$E:$E)-_xlfn.XLOOKUP(D130,Squad_Team_Summary!$A:$A,Squad_Team_Summary!$E:$E)</f>
        <v>-4.5</v>
      </c>
      <c r="Q130">
        <f>_xlfn.XLOOKUP(C130,Squad_Team_Summary!$A:$A,Squad_Team_Summary!$F:$F)-_xlfn.XLOOKUP(D130,Squad_Team_Summary!$A:$A,Squad_Team_Summary!$F:$F)</f>
        <v>-2.7308000000000163</v>
      </c>
      <c r="R130">
        <f>_xlfn.XLOOKUP(C130,Squad_Team_Summary!$A:$A,Squad_Team_Summary!$H:$H)-_xlfn.XLOOKUP(D130,Squad_Team_Summary!$A:$A,Squad_Team_Summary!$H:$H)</f>
        <v>-0.23080000000000001</v>
      </c>
    </row>
    <row r="131" spans="1:18" x14ac:dyDescent="0.3">
      <c r="A131">
        <v>400021481</v>
      </c>
      <c r="B131" t="s">
        <v>80</v>
      </c>
      <c r="C131" t="s">
        <v>47</v>
      </c>
      <c r="D131" t="s">
        <v>53</v>
      </c>
      <c r="E131" t="s">
        <v>18</v>
      </c>
      <c r="F131">
        <v>5</v>
      </c>
      <c r="G131">
        <v>466.66</v>
      </c>
      <c r="H131">
        <v>0</v>
      </c>
      <c r="I131">
        <v>-0.66669999999999996</v>
      </c>
      <c r="J131">
        <v>-1.3332999999999999</v>
      </c>
      <c r="K131">
        <v>0.33329999999999999</v>
      </c>
      <c r="L131">
        <v>-0.65300000000000002</v>
      </c>
      <c r="M131">
        <v>1</v>
      </c>
      <c r="N131">
        <v>1</v>
      </c>
      <c r="O131">
        <f>_xlfn.XLOOKUP(C131,Squad_Team_Summary!$A:$A,Squad_Team_Summary!$D:$D)-_xlfn.XLOOKUP(D131,Squad_Team_Summary!$A:$A,Squad_Team_Summary!$D:$D)</f>
        <v>11.615299999999998</v>
      </c>
      <c r="P131">
        <f>_xlfn.XLOOKUP(C131,Squad_Team_Summary!$A:$A,Squad_Team_Summary!$E:$E)-_xlfn.XLOOKUP(D131,Squad_Team_Summary!$A:$A,Squad_Team_Summary!$E:$E)</f>
        <v>4.5</v>
      </c>
      <c r="Q131">
        <f>_xlfn.XLOOKUP(C131,Squad_Team_Summary!$A:$A,Squad_Team_Summary!$F:$F)-_xlfn.XLOOKUP(D131,Squad_Team_Summary!$A:$A,Squad_Team_Summary!$F:$F)</f>
        <v>2.7308000000000163</v>
      </c>
      <c r="R131">
        <f>_xlfn.XLOOKUP(C131,Squad_Team_Summary!$A:$A,Squad_Team_Summary!$H:$H)-_xlfn.XLOOKUP(D131,Squad_Team_Summary!$A:$A,Squad_Team_Summary!$H:$H)</f>
        <v>0.23080000000000001</v>
      </c>
    </row>
    <row r="132" spans="1:18" x14ac:dyDescent="0.3">
      <c r="A132">
        <v>400021479</v>
      </c>
      <c r="B132" t="s">
        <v>80</v>
      </c>
      <c r="C132" t="s">
        <v>48</v>
      </c>
      <c r="D132" t="s">
        <v>52</v>
      </c>
      <c r="E132" t="s">
        <v>17</v>
      </c>
      <c r="F132">
        <v>1</v>
      </c>
      <c r="G132">
        <v>-57.21</v>
      </c>
      <c r="H132">
        <v>0</v>
      </c>
      <c r="I132">
        <v>0.66669999999999996</v>
      </c>
      <c r="J132">
        <v>0</v>
      </c>
      <c r="K132">
        <v>0.66669999999999996</v>
      </c>
      <c r="L132">
        <v>-1.274</v>
      </c>
      <c r="M132">
        <v>-1</v>
      </c>
      <c r="N132">
        <v>0</v>
      </c>
      <c r="O132">
        <f>_xlfn.XLOOKUP(C132,Squad_Team_Summary!$A:$A,Squad_Team_Summary!$D:$D)-_xlfn.XLOOKUP(D132,Squad_Team_Summary!$A:$A,Squad_Team_Summary!$D:$D)</f>
        <v>-11.923000000000002</v>
      </c>
      <c r="P132">
        <f>_xlfn.XLOOKUP(C132,Squad_Team_Summary!$A:$A,Squad_Team_Summary!$E:$E)-_xlfn.XLOOKUP(D132,Squad_Team_Summary!$A:$A,Squad_Team_Summary!$E:$E)</f>
        <v>-0.5768999999999993</v>
      </c>
      <c r="Q132">
        <f>_xlfn.XLOOKUP(C132,Squad_Team_Summary!$A:$A,Squad_Team_Summary!$F:$F)-_xlfn.XLOOKUP(D132,Squad_Team_Summary!$A:$A,Squad_Team_Summary!$F:$F)</f>
        <v>-2.4615000000000009</v>
      </c>
      <c r="R132">
        <f>_xlfn.XLOOKUP(C132,Squad_Team_Summary!$A:$A,Squad_Team_Summary!$H:$H)-_xlfn.XLOOKUP(D132,Squad_Team_Summary!$A:$A,Squad_Team_Summary!$H:$H)</f>
        <v>0</v>
      </c>
    </row>
    <row r="133" spans="1:18" x14ac:dyDescent="0.3">
      <c r="A133">
        <v>400021479</v>
      </c>
      <c r="B133" t="s">
        <v>80</v>
      </c>
      <c r="C133" t="s">
        <v>52</v>
      </c>
      <c r="D133" t="s">
        <v>48</v>
      </c>
      <c r="E133" t="s">
        <v>18</v>
      </c>
      <c r="F133">
        <v>1</v>
      </c>
      <c r="G133">
        <v>57.21</v>
      </c>
      <c r="H133">
        <v>0</v>
      </c>
      <c r="I133">
        <v>-0.66669999999999996</v>
      </c>
      <c r="J133">
        <v>0</v>
      </c>
      <c r="K133">
        <v>-0.66669999999999996</v>
      </c>
      <c r="L133">
        <v>1.274</v>
      </c>
      <c r="M133">
        <v>1</v>
      </c>
      <c r="N133">
        <v>0</v>
      </c>
      <c r="O133">
        <f>_xlfn.XLOOKUP(C133,Squad_Team_Summary!$A:$A,Squad_Team_Summary!$D:$D)-_xlfn.XLOOKUP(D133,Squad_Team_Summary!$A:$A,Squad_Team_Summary!$D:$D)</f>
        <v>11.923000000000002</v>
      </c>
      <c r="P133">
        <f>_xlfn.XLOOKUP(C133,Squad_Team_Summary!$A:$A,Squad_Team_Summary!$E:$E)-_xlfn.XLOOKUP(D133,Squad_Team_Summary!$A:$A,Squad_Team_Summary!$E:$E)</f>
        <v>0.5768999999999993</v>
      </c>
      <c r="Q133">
        <f>_xlfn.XLOOKUP(C133,Squad_Team_Summary!$A:$A,Squad_Team_Summary!$F:$F)-_xlfn.XLOOKUP(D133,Squad_Team_Summary!$A:$A,Squad_Team_Summary!$F:$F)</f>
        <v>2.4615000000000009</v>
      </c>
      <c r="R133">
        <f>_xlfn.XLOOKUP(C133,Squad_Team_Summary!$A:$A,Squad_Team_Summary!$H:$H)-_xlfn.XLOOKUP(D133,Squad_Team_Summary!$A:$A,Squad_Team_Summary!$H:$H)</f>
        <v>0</v>
      </c>
    </row>
    <row r="134" spans="1:18" x14ac:dyDescent="0.3">
      <c r="A134">
        <v>400021508</v>
      </c>
      <c r="B134" t="s">
        <v>80</v>
      </c>
      <c r="C134" t="s">
        <v>68</v>
      </c>
      <c r="D134" t="s">
        <v>65</v>
      </c>
      <c r="E134" t="s">
        <v>17</v>
      </c>
      <c r="F134">
        <v>0</v>
      </c>
      <c r="G134">
        <v>-288.86</v>
      </c>
      <c r="H134">
        <v>0</v>
      </c>
      <c r="I134">
        <v>-1.3332999999999999</v>
      </c>
      <c r="J134">
        <v>0</v>
      </c>
      <c r="K134">
        <v>-1.3332999999999999</v>
      </c>
      <c r="L134">
        <v>3.153</v>
      </c>
      <c r="M134">
        <v>0</v>
      </c>
      <c r="N134">
        <v>-1</v>
      </c>
      <c r="O134">
        <f>_xlfn.XLOOKUP(C134,Squad_Team_Summary!$A:$A,Squad_Team_Summary!$D:$D)-_xlfn.XLOOKUP(D134,Squad_Team_Summary!$A:$A,Squad_Team_Summary!$D:$D)</f>
        <v>23.961599999999997</v>
      </c>
      <c r="P134">
        <f>_xlfn.XLOOKUP(C134,Squad_Team_Summary!$A:$A,Squad_Team_Summary!$E:$E)-_xlfn.XLOOKUP(D134,Squad_Team_Summary!$A:$A,Squad_Team_Summary!$E:$E)</f>
        <v>-1.6154000000000002</v>
      </c>
      <c r="Q134">
        <f>_xlfn.XLOOKUP(C134,Squad_Team_Summary!$A:$A,Squad_Team_Summary!$F:$F)-_xlfn.XLOOKUP(D134,Squad_Team_Summary!$A:$A,Squad_Team_Summary!$F:$F)</f>
        <v>-3.0384999999999991</v>
      </c>
      <c r="R134">
        <f>_xlfn.XLOOKUP(C134,Squad_Team_Summary!$A:$A,Squad_Team_Summary!$H:$H)-_xlfn.XLOOKUP(D134,Squad_Team_Summary!$A:$A,Squad_Team_Summary!$H:$H)</f>
        <v>0.73080000000000001</v>
      </c>
    </row>
    <row r="135" spans="1:18" x14ac:dyDescent="0.3">
      <c r="A135">
        <v>400021508</v>
      </c>
      <c r="B135" t="s">
        <v>80</v>
      </c>
      <c r="C135" t="s">
        <v>65</v>
      </c>
      <c r="D135" t="s">
        <v>68</v>
      </c>
      <c r="E135" t="s">
        <v>18</v>
      </c>
      <c r="F135">
        <v>2</v>
      </c>
      <c r="G135">
        <v>288.86</v>
      </c>
      <c r="H135">
        <v>0</v>
      </c>
      <c r="I135">
        <v>1.3332999999999999</v>
      </c>
      <c r="J135">
        <v>0</v>
      </c>
      <c r="K135">
        <v>1.3332999999999999</v>
      </c>
      <c r="L135">
        <v>-3.153</v>
      </c>
      <c r="M135">
        <v>0</v>
      </c>
      <c r="N135">
        <v>1</v>
      </c>
      <c r="O135">
        <f>_xlfn.XLOOKUP(C135,Squad_Team_Summary!$A:$A,Squad_Team_Summary!$D:$D)-_xlfn.XLOOKUP(D135,Squad_Team_Summary!$A:$A,Squad_Team_Summary!$D:$D)</f>
        <v>-23.961599999999997</v>
      </c>
      <c r="P135">
        <f>_xlfn.XLOOKUP(C135,Squad_Team_Summary!$A:$A,Squad_Team_Summary!$E:$E)-_xlfn.XLOOKUP(D135,Squad_Team_Summary!$A:$A,Squad_Team_Summary!$E:$E)</f>
        <v>1.6154000000000002</v>
      </c>
      <c r="Q135">
        <f>_xlfn.XLOOKUP(C135,Squad_Team_Summary!$A:$A,Squad_Team_Summary!$F:$F)-_xlfn.XLOOKUP(D135,Squad_Team_Summary!$A:$A,Squad_Team_Summary!$F:$F)</f>
        <v>3.0384999999999991</v>
      </c>
      <c r="R135">
        <f>_xlfn.XLOOKUP(C135,Squad_Team_Summary!$A:$A,Squad_Team_Summary!$H:$H)-_xlfn.XLOOKUP(D135,Squad_Team_Summary!$A:$A,Squad_Team_Summary!$H:$H)</f>
        <v>-0.73080000000000001</v>
      </c>
    </row>
    <row r="136" spans="1:18" x14ac:dyDescent="0.3">
      <c r="A136">
        <v>400021509</v>
      </c>
      <c r="B136" t="s">
        <v>80</v>
      </c>
      <c r="C136" t="s">
        <v>66</v>
      </c>
      <c r="D136" t="s">
        <v>67</v>
      </c>
      <c r="E136" t="s">
        <v>17</v>
      </c>
      <c r="F136">
        <v>2</v>
      </c>
      <c r="G136">
        <v>367.99</v>
      </c>
      <c r="H136">
        <v>0</v>
      </c>
      <c r="I136">
        <v>0.66669999999999996</v>
      </c>
      <c r="J136">
        <v>1.3332999999999999</v>
      </c>
      <c r="K136">
        <v>-0.33329999999999999</v>
      </c>
      <c r="L136">
        <v>1.3540000000000001</v>
      </c>
      <c r="M136">
        <v>0</v>
      </c>
      <c r="N136">
        <v>1</v>
      </c>
      <c r="O136">
        <f>_xlfn.XLOOKUP(C136,Squad_Team_Summary!$A:$A,Squad_Team_Summary!$D:$D)-_xlfn.XLOOKUP(D136,Squad_Team_Summary!$A:$A,Squad_Team_Summary!$D:$D)</f>
        <v>22.692299999999999</v>
      </c>
      <c r="P136">
        <f>_xlfn.XLOOKUP(C136,Squad_Team_Summary!$A:$A,Squad_Team_Summary!$E:$E)-_xlfn.XLOOKUP(D136,Squad_Team_Summary!$A:$A,Squad_Team_Summary!$E:$E)</f>
        <v>3.4231000000000003</v>
      </c>
      <c r="Q136">
        <f>_xlfn.XLOOKUP(C136,Squad_Team_Summary!$A:$A,Squad_Team_Summary!$F:$F)-_xlfn.XLOOKUP(D136,Squad_Team_Summary!$A:$A,Squad_Team_Summary!$F:$F)</f>
        <v>2.1538000000000181</v>
      </c>
      <c r="R136">
        <f>_xlfn.XLOOKUP(C136,Squad_Team_Summary!$A:$A,Squad_Team_Summary!$H:$H)-_xlfn.XLOOKUP(D136,Squad_Team_Summary!$A:$A,Squad_Team_Summary!$H:$H)</f>
        <v>-3.839999999999999E-2</v>
      </c>
    </row>
    <row r="137" spans="1:18" x14ac:dyDescent="0.3">
      <c r="A137">
        <v>400021509</v>
      </c>
      <c r="B137" t="s">
        <v>80</v>
      </c>
      <c r="C137" t="s">
        <v>67</v>
      </c>
      <c r="D137" t="s">
        <v>66</v>
      </c>
      <c r="E137" t="s">
        <v>18</v>
      </c>
      <c r="F137">
        <v>1</v>
      </c>
      <c r="G137">
        <v>-367.99</v>
      </c>
      <c r="H137">
        <v>0</v>
      </c>
      <c r="I137">
        <v>-0.66669999999999996</v>
      </c>
      <c r="J137">
        <v>-1.3332999999999999</v>
      </c>
      <c r="K137">
        <v>0.33329999999999999</v>
      </c>
      <c r="L137">
        <v>-1.3540000000000001</v>
      </c>
      <c r="M137">
        <v>0</v>
      </c>
      <c r="N137">
        <v>-1</v>
      </c>
      <c r="O137">
        <f>_xlfn.XLOOKUP(C137,Squad_Team_Summary!$A:$A,Squad_Team_Summary!$D:$D)-_xlfn.XLOOKUP(D137,Squad_Team_Summary!$A:$A,Squad_Team_Summary!$D:$D)</f>
        <v>-22.692299999999999</v>
      </c>
      <c r="P137">
        <f>_xlfn.XLOOKUP(C137,Squad_Team_Summary!$A:$A,Squad_Team_Summary!$E:$E)-_xlfn.XLOOKUP(D137,Squad_Team_Summary!$A:$A,Squad_Team_Summary!$E:$E)</f>
        <v>-3.4231000000000003</v>
      </c>
      <c r="Q137">
        <f>_xlfn.XLOOKUP(C137,Squad_Team_Summary!$A:$A,Squad_Team_Summary!$F:$F)-_xlfn.XLOOKUP(D137,Squad_Team_Summary!$A:$A,Squad_Team_Summary!$F:$F)</f>
        <v>-2.1538000000000181</v>
      </c>
      <c r="R137">
        <f>_xlfn.XLOOKUP(C137,Squad_Team_Summary!$A:$A,Squad_Team_Summary!$H:$H)-_xlfn.XLOOKUP(D137,Squad_Team_Summary!$A:$A,Squad_Team_Summary!$H:$H)</f>
        <v>3.839999999999999E-2</v>
      </c>
    </row>
    <row r="138" spans="1:18" x14ac:dyDescent="0.3">
      <c r="A138">
        <v>400021500</v>
      </c>
      <c r="B138" t="s">
        <v>80</v>
      </c>
      <c r="C138" t="s">
        <v>64</v>
      </c>
      <c r="D138" t="s">
        <v>70</v>
      </c>
      <c r="E138" t="s">
        <v>17</v>
      </c>
      <c r="F138">
        <v>3</v>
      </c>
      <c r="G138">
        <v>15.7</v>
      </c>
      <c r="H138">
        <v>0</v>
      </c>
      <c r="I138">
        <v>0</v>
      </c>
      <c r="J138">
        <v>-2</v>
      </c>
      <c r="K138">
        <v>0.33329999999999999</v>
      </c>
      <c r="L138">
        <v>0.85499999999999998</v>
      </c>
      <c r="M138">
        <v>-1</v>
      </c>
      <c r="N138">
        <v>0</v>
      </c>
      <c r="O138">
        <f>_xlfn.XLOOKUP(C138,Squad_Team_Summary!$A:$A,Squad_Team_Summary!$D:$D)-_xlfn.XLOOKUP(D138,Squad_Team_Summary!$A:$A,Squad_Team_Summary!$D:$D)</f>
        <v>-5.7691999999999979</v>
      </c>
      <c r="P138">
        <f>_xlfn.XLOOKUP(C138,Squad_Team_Summary!$A:$A,Squad_Team_Summary!$E:$E)-_xlfn.XLOOKUP(D138,Squad_Team_Summary!$A:$A,Squad_Team_Summary!$E:$E)</f>
        <v>-1.3846000000000003</v>
      </c>
      <c r="Q138">
        <f>_xlfn.XLOOKUP(C138,Squad_Team_Summary!$A:$A,Squad_Team_Summary!$F:$F)-_xlfn.XLOOKUP(D138,Squad_Team_Summary!$A:$A,Squad_Team_Summary!$F:$F)</f>
        <v>-0.88460000000000605</v>
      </c>
      <c r="R138">
        <f>_xlfn.XLOOKUP(C138,Squad_Team_Summary!$A:$A,Squad_Team_Summary!$H:$H)-_xlfn.XLOOKUP(D138,Squad_Team_Summary!$A:$A,Squad_Team_Summary!$H:$H)</f>
        <v>0.61539999999999995</v>
      </c>
    </row>
    <row r="139" spans="1:18" x14ac:dyDescent="0.3">
      <c r="A139">
        <v>400021500</v>
      </c>
      <c r="B139" t="s">
        <v>80</v>
      </c>
      <c r="C139" t="s">
        <v>70</v>
      </c>
      <c r="D139" t="s">
        <v>64</v>
      </c>
      <c r="E139" t="s">
        <v>18</v>
      </c>
      <c r="F139">
        <v>1</v>
      </c>
      <c r="G139">
        <v>-15.7</v>
      </c>
      <c r="H139">
        <v>0</v>
      </c>
      <c r="I139">
        <v>0</v>
      </c>
      <c r="J139">
        <v>2</v>
      </c>
      <c r="K139">
        <v>-0.33329999999999999</v>
      </c>
      <c r="L139">
        <v>-0.85499999999999998</v>
      </c>
      <c r="M139">
        <v>1</v>
      </c>
      <c r="N139">
        <v>0</v>
      </c>
      <c r="O139">
        <f>_xlfn.XLOOKUP(C139,Squad_Team_Summary!$A:$A,Squad_Team_Summary!$D:$D)-_xlfn.XLOOKUP(D139,Squad_Team_Summary!$A:$A,Squad_Team_Summary!$D:$D)</f>
        <v>5.7691999999999979</v>
      </c>
      <c r="P139">
        <f>_xlfn.XLOOKUP(C139,Squad_Team_Summary!$A:$A,Squad_Team_Summary!$E:$E)-_xlfn.XLOOKUP(D139,Squad_Team_Summary!$A:$A,Squad_Team_Summary!$E:$E)</f>
        <v>1.3846000000000003</v>
      </c>
      <c r="Q139">
        <f>_xlfn.XLOOKUP(C139,Squad_Team_Summary!$A:$A,Squad_Team_Summary!$F:$F)-_xlfn.XLOOKUP(D139,Squad_Team_Summary!$A:$A,Squad_Team_Summary!$F:$F)</f>
        <v>0.88460000000000605</v>
      </c>
      <c r="R139">
        <f>_xlfn.XLOOKUP(C139,Squad_Team_Summary!$A:$A,Squad_Team_Summary!$H:$H)-_xlfn.XLOOKUP(D139,Squad_Team_Summary!$A:$A,Squad_Team_Summary!$H:$H)</f>
        <v>-0.61539999999999995</v>
      </c>
    </row>
    <row r="140" spans="1:18" x14ac:dyDescent="0.3">
      <c r="A140">
        <v>400021505</v>
      </c>
      <c r="B140" t="s">
        <v>80</v>
      </c>
      <c r="C140" t="s">
        <v>71</v>
      </c>
      <c r="D140" t="s">
        <v>63</v>
      </c>
      <c r="E140" t="s">
        <v>17</v>
      </c>
      <c r="F140">
        <v>0</v>
      </c>
      <c r="G140">
        <v>-69.5</v>
      </c>
      <c r="H140">
        <v>0</v>
      </c>
      <c r="I140">
        <v>-0.66669999999999996</v>
      </c>
      <c r="J140">
        <v>0</v>
      </c>
      <c r="K140">
        <v>0.66669999999999996</v>
      </c>
      <c r="L140">
        <v>2.0539999999999998</v>
      </c>
      <c r="M140">
        <v>-1</v>
      </c>
      <c r="N140">
        <v>0</v>
      </c>
      <c r="O140">
        <f>_xlfn.XLOOKUP(C140,Squad_Team_Summary!$A:$A,Squad_Team_Summary!$D:$D)-_xlfn.XLOOKUP(D140,Squad_Team_Summary!$A:$A,Squad_Team_Summary!$D:$D)</f>
        <v>-4.6154000000000011</v>
      </c>
      <c r="P140">
        <f>_xlfn.XLOOKUP(C140,Squad_Team_Summary!$A:$A,Squad_Team_Summary!$E:$E)-_xlfn.XLOOKUP(D140,Squad_Team_Summary!$A:$A,Squad_Team_Summary!$E:$E)</f>
        <v>-5.8846000000000007</v>
      </c>
      <c r="Q140">
        <f>_xlfn.XLOOKUP(C140,Squad_Team_Summary!$A:$A,Squad_Team_Summary!$F:$F)-_xlfn.XLOOKUP(D140,Squad_Team_Summary!$A:$A,Squad_Team_Summary!$F:$F)</f>
        <v>-1.5</v>
      </c>
      <c r="R140">
        <f>_xlfn.XLOOKUP(C140,Squad_Team_Summary!$A:$A,Squad_Team_Summary!$H:$H)-_xlfn.XLOOKUP(D140,Squad_Team_Summary!$A:$A,Squad_Team_Summary!$H:$H)</f>
        <v>0.15380000000000005</v>
      </c>
    </row>
    <row r="141" spans="1:18" x14ac:dyDescent="0.3">
      <c r="A141">
        <v>400021505</v>
      </c>
      <c r="B141" t="s">
        <v>80</v>
      </c>
      <c r="C141" t="s">
        <v>63</v>
      </c>
      <c r="D141" t="s">
        <v>71</v>
      </c>
      <c r="E141" t="s">
        <v>18</v>
      </c>
      <c r="F141">
        <v>0</v>
      </c>
      <c r="G141">
        <v>69.5</v>
      </c>
      <c r="H141">
        <v>0</v>
      </c>
      <c r="I141">
        <v>0.66669999999999996</v>
      </c>
      <c r="J141">
        <v>0</v>
      </c>
      <c r="K141">
        <v>-0.66669999999999996</v>
      </c>
      <c r="L141">
        <v>-2.0539999999999998</v>
      </c>
      <c r="M141">
        <v>1</v>
      </c>
      <c r="N141">
        <v>0</v>
      </c>
      <c r="O141">
        <f>_xlfn.XLOOKUP(C141,Squad_Team_Summary!$A:$A,Squad_Team_Summary!$D:$D)-_xlfn.XLOOKUP(D141,Squad_Team_Summary!$A:$A,Squad_Team_Summary!$D:$D)</f>
        <v>4.6154000000000011</v>
      </c>
      <c r="P141">
        <f>_xlfn.XLOOKUP(C141,Squad_Team_Summary!$A:$A,Squad_Team_Summary!$E:$E)-_xlfn.XLOOKUP(D141,Squad_Team_Summary!$A:$A,Squad_Team_Summary!$E:$E)</f>
        <v>5.8846000000000007</v>
      </c>
      <c r="Q141">
        <f>_xlfn.XLOOKUP(C141,Squad_Team_Summary!$A:$A,Squad_Team_Summary!$F:$F)-_xlfn.XLOOKUP(D141,Squad_Team_Summary!$A:$A,Squad_Team_Summary!$F:$F)</f>
        <v>1.5</v>
      </c>
      <c r="R141">
        <f>_xlfn.XLOOKUP(C141,Squad_Team_Summary!$A:$A,Squad_Team_Summary!$H:$H)-_xlfn.XLOOKUP(D141,Squad_Team_Summary!$A:$A,Squad_Team_Summary!$H:$H)</f>
        <v>-0.15380000000000005</v>
      </c>
    </row>
    <row r="142" spans="1:18" x14ac:dyDescent="0.3">
      <c r="A142">
        <v>400021497</v>
      </c>
      <c r="B142" t="s">
        <v>81</v>
      </c>
      <c r="C142" t="s">
        <v>60</v>
      </c>
      <c r="D142" t="s">
        <v>61</v>
      </c>
      <c r="E142" t="s">
        <v>17</v>
      </c>
      <c r="F142">
        <v>3</v>
      </c>
      <c r="G142">
        <v>-26.37</v>
      </c>
      <c r="H142">
        <v>0</v>
      </c>
      <c r="I142">
        <v>-0.33329999999999999</v>
      </c>
      <c r="J142">
        <v>0.33329999999999999</v>
      </c>
      <c r="K142">
        <v>0</v>
      </c>
      <c r="L142">
        <v>-1.754</v>
      </c>
      <c r="M142">
        <v>-1</v>
      </c>
      <c r="N142">
        <v>-1</v>
      </c>
      <c r="O142">
        <f>_xlfn.XLOOKUP(C142,Squad_Team_Summary!$A:$A,Squad_Team_Summary!$D:$D)-_xlfn.XLOOKUP(D142,Squad_Team_Summary!$A:$A,Squad_Team_Summary!$D:$D)</f>
        <v>-8.769200000000005</v>
      </c>
      <c r="P142">
        <f>_xlfn.XLOOKUP(C142,Squad_Team_Summary!$A:$A,Squad_Team_Summary!$E:$E)-_xlfn.XLOOKUP(D142,Squad_Team_Summary!$A:$A,Squad_Team_Summary!$E:$E)</f>
        <v>-1.0769000000000002</v>
      </c>
      <c r="Q142">
        <f>_xlfn.XLOOKUP(C142,Squad_Team_Summary!$A:$A,Squad_Team_Summary!$F:$F)-_xlfn.XLOOKUP(D142,Squad_Team_Summary!$A:$A,Squad_Team_Summary!$F:$F)</f>
        <v>-2.3077000000000112</v>
      </c>
      <c r="R142">
        <f>_xlfn.XLOOKUP(C142,Squad_Team_Summary!$A:$A,Squad_Team_Summary!$H:$H)-_xlfn.XLOOKUP(D142,Squad_Team_Summary!$A:$A,Squad_Team_Summary!$H:$H)</f>
        <v>0</v>
      </c>
    </row>
    <row r="143" spans="1:18" x14ac:dyDescent="0.3">
      <c r="A143">
        <v>400021497</v>
      </c>
      <c r="B143" t="s">
        <v>81</v>
      </c>
      <c r="C143" t="s">
        <v>61</v>
      </c>
      <c r="D143" t="s">
        <v>60</v>
      </c>
      <c r="E143" t="s">
        <v>18</v>
      </c>
      <c r="F143">
        <v>3</v>
      </c>
      <c r="G143">
        <v>26.37</v>
      </c>
      <c r="H143">
        <v>0</v>
      </c>
      <c r="I143">
        <v>0.33329999999999999</v>
      </c>
      <c r="J143">
        <v>-0.33329999999999999</v>
      </c>
      <c r="K143">
        <v>0</v>
      </c>
      <c r="L143">
        <v>1.754</v>
      </c>
      <c r="M143">
        <v>1</v>
      </c>
      <c r="N143">
        <v>1</v>
      </c>
      <c r="O143">
        <f>_xlfn.XLOOKUP(C143,Squad_Team_Summary!$A:$A,Squad_Team_Summary!$D:$D)-_xlfn.XLOOKUP(D143,Squad_Team_Summary!$A:$A,Squad_Team_Summary!$D:$D)</f>
        <v>8.769200000000005</v>
      </c>
      <c r="P143">
        <f>_xlfn.XLOOKUP(C143,Squad_Team_Summary!$A:$A,Squad_Team_Summary!$E:$E)-_xlfn.XLOOKUP(D143,Squad_Team_Summary!$A:$A,Squad_Team_Summary!$E:$E)</f>
        <v>1.0769000000000002</v>
      </c>
      <c r="Q143">
        <f>_xlfn.XLOOKUP(C143,Squad_Team_Summary!$A:$A,Squad_Team_Summary!$F:$F)-_xlfn.XLOOKUP(D143,Squad_Team_Summary!$A:$A,Squad_Team_Summary!$F:$F)</f>
        <v>2.3077000000000112</v>
      </c>
      <c r="R143">
        <f>_xlfn.XLOOKUP(C143,Squad_Team_Summary!$A:$A,Squad_Team_Summary!$H:$H)-_xlfn.XLOOKUP(D143,Squad_Team_Summary!$A:$A,Squad_Team_Summary!$H:$H)</f>
        <v>0</v>
      </c>
    </row>
    <row r="144" spans="1:18" x14ac:dyDescent="0.3">
      <c r="A144">
        <v>400021495</v>
      </c>
      <c r="B144" t="s">
        <v>81</v>
      </c>
      <c r="C144" t="s">
        <v>62</v>
      </c>
      <c r="D144" t="s">
        <v>59</v>
      </c>
      <c r="E144" t="s">
        <v>17</v>
      </c>
      <c r="F144">
        <v>1</v>
      </c>
      <c r="G144">
        <v>-489.53</v>
      </c>
      <c r="H144">
        <v>0</v>
      </c>
      <c r="I144">
        <v>-1</v>
      </c>
      <c r="J144">
        <v>1.6667000000000001</v>
      </c>
      <c r="K144">
        <v>-2</v>
      </c>
      <c r="L144">
        <v>-0.65300000000000002</v>
      </c>
      <c r="M144">
        <v>-1</v>
      </c>
      <c r="N144">
        <v>-1</v>
      </c>
      <c r="O144">
        <f>_xlfn.XLOOKUP(C144,Squad_Team_Summary!$A:$A,Squad_Team_Summary!$D:$D)-_xlfn.XLOOKUP(D144,Squad_Team_Summary!$A:$A,Squad_Team_Summary!$D:$D)</f>
        <v>-10.384599999999999</v>
      </c>
      <c r="P144">
        <f>_xlfn.XLOOKUP(C144,Squad_Team_Summary!$A:$A,Squad_Team_Summary!$E:$E)-_xlfn.XLOOKUP(D144,Squad_Team_Summary!$A:$A,Squad_Team_Summary!$E:$E)</f>
        <v>-5.6922999999999995</v>
      </c>
      <c r="Q144">
        <f>_xlfn.XLOOKUP(C144,Squad_Team_Summary!$A:$A,Squad_Team_Summary!$F:$F)-_xlfn.XLOOKUP(D144,Squad_Team_Summary!$A:$A,Squad_Team_Summary!$F:$F)</f>
        <v>0.73080000000001633</v>
      </c>
      <c r="R144">
        <f>_xlfn.XLOOKUP(C144,Squad_Team_Summary!$A:$A,Squad_Team_Summary!$H:$H)-_xlfn.XLOOKUP(D144,Squad_Team_Summary!$A:$A,Squad_Team_Summary!$H:$H)</f>
        <v>-0.38460000000000005</v>
      </c>
    </row>
    <row r="145" spans="1:18" x14ac:dyDescent="0.3">
      <c r="A145">
        <v>400021495</v>
      </c>
      <c r="B145" t="s">
        <v>81</v>
      </c>
      <c r="C145" t="s">
        <v>59</v>
      </c>
      <c r="D145" t="s">
        <v>62</v>
      </c>
      <c r="E145" t="s">
        <v>18</v>
      </c>
      <c r="F145">
        <v>3</v>
      </c>
      <c r="G145">
        <v>489.53</v>
      </c>
      <c r="H145">
        <v>0</v>
      </c>
      <c r="I145">
        <v>1</v>
      </c>
      <c r="J145">
        <v>-1.6667000000000001</v>
      </c>
      <c r="K145">
        <v>2</v>
      </c>
      <c r="L145">
        <v>0.65300000000000002</v>
      </c>
      <c r="M145">
        <v>1</v>
      </c>
      <c r="N145">
        <v>1</v>
      </c>
      <c r="O145">
        <f>_xlfn.XLOOKUP(C145,Squad_Team_Summary!$A:$A,Squad_Team_Summary!$D:$D)-_xlfn.XLOOKUP(D145,Squad_Team_Summary!$A:$A,Squad_Team_Summary!$D:$D)</f>
        <v>10.384599999999999</v>
      </c>
      <c r="P145">
        <f>_xlfn.XLOOKUP(C145,Squad_Team_Summary!$A:$A,Squad_Team_Summary!$E:$E)-_xlfn.XLOOKUP(D145,Squad_Team_Summary!$A:$A,Squad_Team_Summary!$E:$E)</f>
        <v>5.6922999999999995</v>
      </c>
      <c r="Q145">
        <f>_xlfn.XLOOKUP(C145,Squad_Team_Summary!$A:$A,Squad_Team_Summary!$F:$F)-_xlfn.XLOOKUP(D145,Squad_Team_Summary!$A:$A,Squad_Team_Summary!$F:$F)</f>
        <v>-0.73080000000001633</v>
      </c>
      <c r="R145">
        <f>_xlfn.XLOOKUP(C145,Squad_Team_Summary!$A:$A,Squad_Team_Summary!$H:$H)-_xlfn.XLOOKUP(D145,Squad_Team_Summary!$A:$A,Squad_Team_Summary!$H:$H)</f>
        <v>0.38460000000000005</v>
      </c>
    </row>
    <row r="146" spans="1:18" x14ac:dyDescent="0.3">
      <c r="A146">
        <v>400021518</v>
      </c>
      <c r="B146" t="s">
        <v>81</v>
      </c>
      <c r="C146" t="s">
        <v>16</v>
      </c>
      <c r="D146" t="s">
        <v>22</v>
      </c>
      <c r="E146" t="s">
        <v>17</v>
      </c>
      <c r="F146">
        <v>0</v>
      </c>
      <c r="G146">
        <v>-131.1</v>
      </c>
      <c r="H146">
        <v>0</v>
      </c>
      <c r="I146">
        <v>-1.5</v>
      </c>
      <c r="J146">
        <v>0</v>
      </c>
      <c r="K146">
        <v>0</v>
      </c>
      <c r="L146">
        <v>-0.16400000000000001</v>
      </c>
      <c r="M146">
        <v>-1</v>
      </c>
      <c r="N146">
        <v>0</v>
      </c>
      <c r="O146">
        <f>_xlfn.XLOOKUP(C146,Squad_Team_Summary!$A:$A,Squad_Team_Summary!$D:$D)-_xlfn.XLOOKUP(D146,Squad_Team_Summary!$A:$A,Squad_Team_Summary!$D:$D)</f>
        <v>-17.124599999999997</v>
      </c>
      <c r="P146">
        <f>_xlfn.XLOOKUP(C146,Squad_Team_Summary!$A:$A,Squad_Team_Summary!$E:$E)-_xlfn.XLOOKUP(D146,Squad_Team_Summary!$A:$A,Squad_Team_Summary!$E:$E)</f>
        <v>-2.7830999999999997</v>
      </c>
      <c r="Q146">
        <f>_xlfn.XLOOKUP(C146,Squad_Team_Summary!$A:$A,Squad_Team_Summary!$F:$F)-_xlfn.XLOOKUP(D146,Squad_Team_Summary!$A:$A,Squad_Team_Summary!$F:$F)</f>
        <v>-3.3877000000000237</v>
      </c>
      <c r="R146">
        <f>_xlfn.XLOOKUP(C146,Squad_Team_Summary!$A:$A,Squad_Team_Summary!$H:$H)-_xlfn.XLOOKUP(D146,Squad_Team_Summary!$A:$A,Squad_Team_Summary!$H:$H)</f>
        <v>-0.6431</v>
      </c>
    </row>
    <row r="147" spans="1:18" x14ac:dyDescent="0.3">
      <c r="A147">
        <v>400021518</v>
      </c>
      <c r="B147" t="s">
        <v>81</v>
      </c>
      <c r="C147" t="s">
        <v>22</v>
      </c>
      <c r="D147" t="s">
        <v>16</v>
      </c>
      <c r="E147" t="s">
        <v>18</v>
      </c>
      <c r="F147">
        <v>1</v>
      </c>
      <c r="G147">
        <v>131.1</v>
      </c>
      <c r="H147">
        <v>0</v>
      </c>
      <c r="I147">
        <v>1.5</v>
      </c>
      <c r="J147">
        <v>0</v>
      </c>
      <c r="K147">
        <v>0</v>
      </c>
      <c r="L147">
        <v>0.16400000000000001</v>
      </c>
      <c r="M147">
        <v>1</v>
      </c>
      <c r="N147">
        <v>0</v>
      </c>
      <c r="O147">
        <f>_xlfn.XLOOKUP(C147,Squad_Team_Summary!$A:$A,Squad_Team_Summary!$D:$D)-_xlfn.XLOOKUP(D147,Squad_Team_Summary!$A:$A,Squad_Team_Summary!$D:$D)</f>
        <v>17.124599999999997</v>
      </c>
      <c r="P147">
        <f>_xlfn.XLOOKUP(C147,Squad_Team_Summary!$A:$A,Squad_Team_Summary!$E:$E)-_xlfn.XLOOKUP(D147,Squad_Team_Summary!$A:$A,Squad_Team_Summary!$E:$E)</f>
        <v>2.7830999999999997</v>
      </c>
      <c r="Q147">
        <f>_xlfn.XLOOKUP(C147,Squad_Team_Summary!$A:$A,Squad_Team_Summary!$F:$F)-_xlfn.XLOOKUP(D147,Squad_Team_Summary!$A:$A,Squad_Team_Summary!$F:$F)</f>
        <v>3.3877000000000237</v>
      </c>
      <c r="R147">
        <f>_xlfn.XLOOKUP(C147,Squad_Team_Summary!$A:$A,Squad_Team_Summary!$H:$H)-_xlfn.XLOOKUP(D147,Squad_Team_Summary!$A:$A,Squad_Team_Summary!$H:$H)</f>
        <v>0.6431</v>
      </c>
    </row>
    <row r="148" spans="1:18" x14ac:dyDescent="0.3">
      <c r="A148">
        <v>400021516</v>
      </c>
      <c r="B148" t="s">
        <v>82</v>
      </c>
      <c r="C148" t="s">
        <v>29</v>
      </c>
      <c r="D148" t="s">
        <v>39</v>
      </c>
      <c r="E148" t="s">
        <v>17</v>
      </c>
      <c r="F148">
        <v>2</v>
      </c>
      <c r="G148">
        <v>104.28</v>
      </c>
      <c r="H148">
        <v>0</v>
      </c>
      <c r="I148">
        <v>0</v>
      </c>
      <c r="J148">
        <v>-0.5</v>
      </c>
      <c r="K148">
        <v>0.5</v>
      </c>
      <c r="L148">
        <v>1.8680000000000001</v>
      </c>
      <c r="M148">
        <v>1</v>
      </c>
      <c r="N148">
        <v>1</v>
      </c>
      <c r="O148">
        <f>_xlfn.XLOOKUP(C148,Squad_Team_Summary!$A:$A,Squad_Team_Summary!$D:$D)-_xlfn.XLOOKUP(D148,Squad_Team_Summary!$A:$A,Squad_Team_Summary!$D:$D)</f>
        <v>4.7308000000000021</v>
      </c>
      <c r="P148">
        <f>_xlfn.XLOOKUP(C148,Squad_Team_Summary!$A:$A,Squad_Team_Summary!$E:$E)-_xlfn.XLOOKUP(D148,Squad_Team_Summary!$A:$A,Squad_Team_Summary!$E:$E)</f>
        <v>1.577</v>
      </c>
      <c r="Q148">
        <f>_xlfn.XLOOKUP(C148,Squad_Team_Summary!$A:$A,Squad_Team_Summary!$F:$F)-_xlfn.XLOOKUP(D148,Squad_Team_Summary!$A:$A,Squad_Team_Summary!$F:$F)</f>
        <v>1.5</v>
      </c>
      <c r="R148">
        <f>_xlfn.XLOOKUP(C148,Squad_Team_Summary!$A:$A,Squad_Team_Summary!$H:$H)-_xlfn.XLOOKUP(D148,Squad_Team_Summary!$A:$A,Squad_Team_Summary!$H:$H)</f>
        <v>-0.15380000000000005</v>
      </c>
    </row>
    <row r="149" spans="1:18" x14ac:dyDescent="0.3">
      <c r="A149">
        <v>400021516</v>
      </c>
      <c r="B149" t="s">
        <v>82</v>
      </c>
      <c r="C149" t="s">
        <v>39</v>
      </c>
      <c r="D149" t="s">
        <v>29</v>
      </c>
      <c r="E149" t="s">
        <v>18</v>
      </c>
      <c r="F149">
        <v>1</v>
      </c>
      <c r="G149">
        <v>-104.28</v>
      </c>
      <c r="H149">
        <v>0</v>
      </c>
      <c r="I149">
        <v>0</v>
      </c>
      <c r="J149">
        <v>0.5</v>
      </c>
      <c r="K149">
        <v>-0.5</v>
      </c>
      <c r="L149">
        <v>-1.8680000000000001</v>
      </c>
      <c r="M149">
        <v>-1</v>
      </c>
      <c r="N149">
        <v>-1</v>
      </c>
      <c r="O149">
        <f>_xlfn.XLOOKUP(C149,Squad_Team_Summary!$A:$A,Squad_Team_Summary!$D:$D)-_xlfn.XLOOKUP(D149,Squad_Team_Summary!$A:$A,Squad_Team_Summary!$D:$D)</f>
        <v>-4.7308000000000021</v>
      </c>
      <c r="P149">
        <f>_xlfn.XLOOKUP(C149,Squad_Team_Summary!$A:$A,Squad_Team_Summary!$E:$E)-_xlfn.XLOOKUP(D149,Squad_Team_Summary!$A:$A,Squad_Team_Summary!$E:$E)</f>
        <v>-1.577</v>
      </c>
      <c r="Q149">
        <f>_xlfn.XLOOKUP(C149,Squad_Team_Summary!$A:$A,Squad_Team_Summary!$F:$F)-_xlfn.XLOOKUP(D149,Squad_Team_Summary!$A:$A,Squad_Team_Summary!$F:$F)</f>
        <v>-1.5</v>
      </c>
      <c r="R149">
        <f>_xlfn.XLOOKUP(C149,Squad_Team_Summary!$A:$A,Squad_Team_Summary!$H:$H)-_xlfn.XLOOKUP(D149,Squad_Team_Summary!$A:$A,Squad_Team_Summary!$H:$H)</f>
        <v>0.15380000000000005</v>
      </c>
    </row>
    <row r="150" spans="1:18" x14ac:dyDescent="0.3">
      <c r="A150">
        <v>400021513</v>
      </c>
      <c r="B150" t="s">
        <v>82</v>
      </c>
      <c r="C150" t="s">
        <v>36</v>
      </c>
      <c r="D150" t="s">
        <v>26</v>
      </c>
      <c r="E150" t="s">
        <v>17</v>
      </c>
      <c r="F150">
        <v>1</v>
      </c>
      <c r="G150">
        <v>230.42</v>
      </c>
      <c r="H150">
        <v>0</v>
      </c>
      <c r="I150">
        <v>2</v>
      </c>
      <c r="J150">
        <v>0</v>
      </c>
      <c r="K150">
        <v>0.5</v>
      </c>
      <c r="L150">
        <v>-0.95599999999999996</v>
      </c>
      <c r="M150">
        <v>1</v>
      </c>
      <c r="N150">
        <v>0</v>
      </c>
      <c r="O150">
        <f>_xlfn.XLOOKUP(C150,Squad_Team_Summary!$A:$A,Squad_Team_Summary!$D:$D)-_xlfn.XLOOKUP(D150,Squad_Team_Summary!$A:$A,Squad_Team_Summary!$D:$D)</f>
        <v>5.3846000000000025</v>
      </c>
      <c r="P150">
        <f>_xlfn.XLOOKUP(C150,Squad_Team_Summary!$A:$A,Squad_Team_Summary!$E:$E)-_xlfn.XLOOKUP(D150,Squad_Team_Summary!$A:$A,Squad_Team_Summary!$E:$E)</f>
        <v>2.3077000000000001</v>
      </c>
      <c r="Q150">
        <f>_xlfn.XLOOKUP(C150,Squad_Team_Summary!$A:$A,Squad_Team_Summary!$F:$F)-_xlfn.XLOOKUP(D150,Squad_Team_Summary!$A:$A,Squad_Team_Summary!$F:$F)</f>
        <v>4.5768999999999949</v>
      </c>
      <c r="R150">
        <f>_xlfn.XLOOKUP(C150,Squad_Team_Summary!$A:$A,Squad_Team_Summary!$H:$H)-_xlfn.XLOOKUP(D150,Squad_Team_Summary!$A:$A,Squad_Team_Summary!$H:$H)</f>
        <v>-0.61540000000000006</v>
      </c>
    </row>
    <row r="151" spans="1:18" x14ac:dyDescent="0.3">
      <c r="A151">
        <v>400021513</v>
      </c>
      <c r="B151" t="s">
        <v>82</v>
      </c>
      <c r="C151" t="s">
        <v>26</v>
      </c>
      <c r="D151" t="s">
        <v>36</v>
      </c>
      <c r="E151" t="s">
        <v>18</v>
      </c>
      <c r="F151">
        <v>1</v>
      </c>
      <c r="G151">
        <v>-230.42</v>
      </c>
      <c r="H151">
        <v>0</v>
      </c>
      <c r="I151">
        <v>-2</v>
      </c>
      <c r="J151">
        <v>0</v>
      </c>
      <c r="K151">
        <v>-0.5</v>
      </c>
      <c r="L151">
        <v>0.95599999999999996</v>
      </c>
      <c r="M151">
        <v>-1</v>
      </c>
      <c r="N151">
        <v>0</v>
      </c>
      <c r="O151">
        <f>_xlfn.XLOOKUP(C151,Squad_Team_Summary!$A:$A,Squad_Team_Summary!$D:$D)-_xlfn.XLOOKUP(D151,Squad_Team_Summary!$A:$A,Squad_Team_Summary!$D:$D)</f>
        <v>-5.3846000000000025</v>
      </c>
      <c r="P151">
        <f>_xlfn.XLOOKUP(C151,Squad_Team_Summary!$A:$A,Squad_Team_Summary!$E:$E)-_xlfn.XLOOKUP(D151,Squad_Team_Summary!$A:$A,Squad_Team_Summary!$E:$E)</f>
        <v>-2.3077000000000001</v>
      </c>
      <c r="Q151">
        <f>_xlfn.XLOOKUP(C151,Squad_Team_Summary!$A:$A,Squad_Team_Summary!$F:$F)-_xlfn.XLOOKUP(D151,Squad_Team_Summary!$A:$A,Squad_Team_Summary!$F:$F)</f>
        <v>-4.5768999999999949</v>
      </c>
      <c r="R151">
        <f>_xlfn.XLOOKUP(C151,Squad_Team_Summary!$A:$A,Squad_Team_Summary!$H:$H)-_xlfn.XLOOKUP(D151,Squad_Team_Summary!$A:$A,Squad_Team_Summary!$H:$H)</f>
        <v>0.61540000000000006</v>
      </c>
    </row>
    <row r="152" spans="1:18" x14ac:dyDescent="0.3">
      <c r="A152">
        <v>400021522</v>
      </c>
      <c r="B152" t="s">
        <v>83</v>
      </c>
      <c r="C152" t="s">
        <v>38</v>
      </c>
      <c r="D152" t="s">
        <v>30</v>
      </c>
      <c r="E152" t="s">
        <v>17</v>
      </c>
      <c r="F152">
        <v>1</v>
      </c>
      <c r="G152">
        <v>-1.53</v>
      </c>
      <c r="H152">
        <v>0</v>
      </c>
      <c r="I152">
        <v>1</v>
      </c>
      <c r="J152">
        <v>0.25</v>
      </c>
      <c r="K152">
        <v>0</v>
      </c>
      <c r="L152">
        <v>1.175</v>
      </c>
      <c r="M152">
        <v>-1</v>
      </c>
      <c r="N152">
        <v>1</v>
      </c>
      <c r="O152">
        <f>_xlfn.XLOOKUP(C152,Squad_Team_Summary!$A:$A,Squad_Team_Summary!$D:$D)-_xlfn.XLOOKUP(D152,Squad_Team_Summary!$A:$A,Squad_Team_Summary!$D:$D)</f>
        <v>4.7692000000000014</v>
      </c>
      <c r="P152">
        <f>_xlfn.XLOOKUP(C152,Squad_Team_Summary!$A:$A,Squad_Team_Summary!$E:$E)-_xlfn.XLOOKUP(D152,Squad_Team_Summary!$A:$A,Squad_Team_Summary!$E:$E)</f>
        <v>2.0768999999999993</v>
      </c>
      <c r="Q152">
        <f>_xlfn.XLOOKUP(C152,Squad_Team_Summary!$A:$A,Squad_Team_Summary!$F:$F)-_xlfn.XLOOKUP(D152,Squad_Team_Summary!$A:$A,Squad_Team_Summary!$F:$F)</f>
        <v>2.7691999999999837</v>
      </c>
      <c r="R152">
        <f>_xlfn.XLOOKUP(C152,Squad_Team_Summary!$A:$A,Squad_Team_Summary!$H:$H)-_xlfn.XLOOKUP(D152,Squad_Team_Summary!$A:$A,Squad_Team_Summary!$H:$H)</f>
        <v>0</v>
      </c>
    </row>
    <row r="153" spans="1:18" x14ac:dyDescent="0.3">
      <c r="A153">
        <v>400021522</v>
      </c>
      <c r="B153" t="s">
        <v>83</v>
      </c>
      <c r="C153" t="s">
        <v>30</v>
      </c>
      <c r="D153" t="s">
        <v>38</v>
      </c>
      <c r="E153" t="s">
        <v>18</v>
      </c>
      <c r="F153">
        <v>1</v>
      </c>
      <c r="G153">
        <v>1.53</v>
      </c>
      <c r="H153">
        <v>0</v>
      </c>
      <c r="I153">
        <v>-1</v>
      </c>
      <c r="J153">
        <v>-0.25</v>
      </c>
      <c r="K153">
        <v>0</v>
      </c>
      <c r="L153">
        <v>-1.175</v>
      </c>
      <c r="M153">
        <v>1</v>
      </c>
      <c r="N153">
        <v>-1</v>
      </c>
      <c r="O153">
        <f>_xlfn.XLOOKUP(C153,Squad_Team_Summary!$A:$A,Squad_Team_Summary!$D:$D)-_xlfn.XLOOKUP(D153,Squad_Team_Summary!$A:$A,Squad_Team_Summary!$D:$D)</f>
        <v>-4.7692000000000014</v>
      </c>
      <c r="P153">
        <f>_xlfn.XLOOKUP(C153,Squad_Team_Summary!$A:$A,Squad_Team_Summary!$E:$E)-_xlfn.XLOOKUP(D153,Squad_Team_Summary!$A:$A,Squad_Team_Summary!$E:$E)</f>
        <v>-2.0768999999999993</v>
      </c>
      <c r="Q153">
        <f>_xlfn.XLOOKUP(C153,Squad_Team_Summary!$A:$A,Squad_Team_Summary!$F:$F)-_xlfn.XLOOKUP(D153,Squad_Team_Summary!$A:$A,Squad_Team_Summary!$F:$F)</f>
        <v>-2.7691999999999837</v>
      </c>
      <c r="R153">
        <f>_xlfn.XLOOKUP(C153,Squad_Team_Summary!$A:$A,Squad_Team_Summary!$H:$H)-_xlfn.XLOOKUP(D153,Squad_Team_Summary!$A:$A,Squad_Team_Summary!$H:$H)</f>
        <v>0</v>
      </c>
    </row>
    <row r="154" spans="1:18" x14ac:dyDescent="0.3">
      <c r="A154">
        <v>400021514</v>
      </c>
      <c r="B154" t="s">
        <v>83</v>
      </c>
      <c r="C154" t="s">
        <v>40</v>
      </c>
      <c r="D154" t="s">
        <v>57</v>
      </c>
      <c r="E154" t="s">
        <v>17</v>
      </c>
      <c r="F154">
        <v>1</v>
      </c>
      <c r="G154">
        <v>-16.57</v>
      </c>
      <c r="H154">
        <v>0</v>
      </c>
      <c r="I154">
        <v>-1</v>
      </c>
      <c r="J154">
        <v>-1.25</v>
      </c>
      <c r="K154">
        <v>0</v>
      </c>
      <c r="L154">
        <v>-0.95499999999999996</v>
      </c>
      <c r="M154">
        <v>1</v>
      </c>
      <c r="N154">
        <v>-1</v>
      </c>
      <c r="O154">
        <f>_xlfn.XLOOKUP(C154,Squad_Team_Summary!$A:$A,Squad_Team_Summary!$D:$D)-_xlfn.XLOOKUP(D154,Squad_Team_Summary!$A:$A,Squad_Team_Summary!$D:$D)</f>
        <v>-4.807699999999997</v>
      </c>
      <c r="P154">
        <f>_xlfn.XLOOKUP(C154,Squad_Team_Summary!$A:$A,Squad_Team_Summary!$E:$E)-_xlfn.XLOOKUP(D154,Squad_Team_Summary!$A:$A,Squad_Team_Summary!$E:$E)</f>
        <v>-1.7692000000000001</v>
      </c>
      <c r="Q154">
        <f>_xlfn.XLOOKUP(C154,Squad_Team_Summary!$A:$A,Squad_Team_Summary!$F:$F)-_xlfn.XLOOKUP(D154,Squad_Team_Summary!$A:$A,Squad_Team_Summary!$F:$F)</f>
        <v>-4.2306999999999846</v>
      </c>
      <c r="R154">
        <f>_xlfn.XLOOKUP(C154,Squad_Team_Summary!$A:$A,Squad_Team_Summary!$H:$H)-_xlfn.XLOOKUP(D154,Squad_Team_Summary!$A:$A,Squad_Team_Summary!$H:$H)</f>
        <v>0.15380000000000005</v>
      </c>
    </row>
    <row r="155" spans="1:18" x14ac:dyDescent="0.3">
      <c r="A155">
        <v>400021514</v>
      </c>
      <c r="B155" t="s">
        <v>83</v>
      </c>
      <c r="C155" t="s">
        <v>57</v>
      </c>
      <c r="D155" t="s">
        <v>40</v>
      </c>
      <c r="E155" t="s">
        <v>18</v>
      </c>
      <c r="F155">
        <v>2</v>
      </c>
      <c r="G155">
        <v>16.57</v>
      </c>
      <c r="H155">
        <v>0</v>
      </c>
      <c r="I155">
        <v>1</v>
      </c>
      <c r="J155">
        <v>1.25</v>
      </c>
      <c r="K155">
        <v>0</v>
      </c>
      <c r="L155">
        <v>0.95499999999999996</v>
      </c>
      <c r="M155">
        <v>-1</v>
      </c>
      <c r="N155">
        <v>1</v>
      </c>
      <c r="O155">
        <f>_xlfn.XLOOKUP(C155,Squad_Team_Summary!$A:$A,Squad_Team_Summary!$D:$D)-_xlfn.XLOOKUP(D155,Squad_Team_Summary!$A:$A,Squad_Team_Summary!$D:$D)</f>
        <v>4.807699999999997</v>
      </c>
      <c r="P155">
        <f>_xlfn.XLOOKUP(C155,Squad_Team_Summary!$A:$A,Squad_Team_Summary!$E:$E)-_xlfn.XLOOKUP(D155,Squad_Team_Summary!$A:$A,Squad_Team_Summary!$E:$E)</f>
        <v>1.7692000000000001</v>
      </c>
      <c r="Q155">
        <f>_xlfn.XLOOKUP(C155,Squad_Team_Summary!$A:$A,Squad_Team_Summary!$F:$F)-_xlfn.XLOOKUP(D155,Squad_Team_Summary!$A:$A,Squad_Team_Summary!$F:$F)</f>
        <v>4.2306999999999846</v>
      </c>
      <c r="R155">
        <f>_xlfn.XLOOKUP(C155,Squad_Team_Summary!$A:$A,Squad_Team_Summary!$H:$H)-_xlfn.XLOOKUP(D155,Squad_Team_Summary!$A:$A,Squad_Team_Summary!$H:$H)</f>
        <v>-0.15380000000000005</v>
      </c>
    </row>
    <row r="156" spans="1:18" x14ac:dyDescent="0.3">
      <c r="A156">
        <v>400021523</v>
      </c>
      <c r="B156" t="s">
        <v>83</v>
      </c>
      <c r="C156" t="s">
        <v>54</v>
      </c>
      <c r="D156" t="s">
        <v>43</v>
      </c>
      <c r="E156" t="s">
        <v>17</v>
      </c>
      <c r="F156">
        <v>3</v>
      </c>
      <c r="G156">
        <v>360.91</v>
      </c>
      <c r="H156">
        <v>0</v>
      </c>
      <c r="I156">
        <v>0.75</v>
      </c>
      <c r="J156">
        <v>-1.25</v>
      </c>
      <c r="K156">
        <v>1.25</v>
      </c>
      <c r="L156">
        <v>-0.55600000000000005</v>
      </c>
      <c r="M156">
        <v>-1</v>
      </c>
      <c r="N156">
        <v>0</v>
      </c>
      <c r="O156">
        <f>_xlfn.XLOOKUP(C156,Squad_Team_Summary!$A:$A,Squad_Team_Summary!$D:$D)-_xlfn.XLOOKUP(D156,Squad_Team_Summary!$A:$A,Squad_Team_Summary!$D:$D)</f>
        <v>13.269299999999998</v>
      </c>
      <c r="P156">
        <f>_xlfn.XLOOKUP(C156,Squad_Team_Summary!$A:$A,Squad_Team_Summary!$E:$E)-_xlfn.XLOOKUP(D156,Squad_Team_Summary!$A:$A,Squad_Team_Summary!$E:$E)</f>
        <v>1.8462000000000001</v>
      </c>
      <c r="Q156">
        <f>_xlfn.XLOOKUP(C156,Squad_Team_Summary!$A:$A,Squad_Team_Summary!$F:$F)-_xlfn.XLOOKUP(D156,Squad_Team_Summary!$A:$A,Squad_Team_Summary!$F:$F)</f>
        <v>-1.2691999999999837</v>
      </c>
      <c r="R156">
        <f>_xlfn.XLOOKUP(C156,Squad_Team_Summary!$A:$A,Squad_Team_Summary!$H:$H)-_xlfn.XLOOKUP(D156,Squad_Team_Summary!$A:$A,Squad_Team_Summary!$H:$H)</f>
        <v>-0.19230000000000003</v>
      </c>
    </row>
    <row r="157" spans="1:18" x14ac:dyDescent="0.3">
      <c r="A157">
        <v>400021523</v>
      </c>
      <c r="B157" t="s">
        <v>83</v>
      </c>
      <c r="C157" t="s">
        <v>43</v>
      </c>
      <c r="D157" t="s">
        <v>54</v>
      </c>
      <c r="E157" t="s">
        <v>18</v>
      </c>
      <c r="F157">
        <v>0</v>
      </c>
      <c r="G157">
        <v>-360.91</v>
      </c>
      <c r="H157">
        <v>0</v>
      </c>
      <c r="I157">
        <v>-0.75</v>
      </c>
      <c r="J157">
        <v>1.25</v>
      </c>
      <c r="K157">
        <v>-1.25</v>
      </c>
      <c r="L157">
        <v>0.55600000000000005</v>
      </c>
      <c r="M157">
        <v>1</v>
      </c>
      <c r="N157">
        <v>0</v>
      </c>
      <c r="O157">
        <f>_xlfn.XLOOKUP(C157,Squad_Team_Summary!$A:$A,Squad_Team_Summary!$D:$D)-_xlfn.XLOOKUP(D157,Squad_Team_Summary!$A:$A,Squad_Team_Summary!$D:$D)</f>
        <v>-13.269299999999998</v>
      </c>
      <c r="P157">
        <f>_xlfn.XLOOKUP(C157,Squad_Team_Summary!$A:$A,Squad_Team_Summary!$E:$E)-_xlfn.XLOOKUP(D157,Squad_Team_Summary!$A:$A,Squad_Team_Summary!$E:$E)</f>
        <v>-1.8462000000000001</v>
      </c>
      <c r="Q157">
        <f>_xlfn.XLOOKUP(C157,Squad_Team_Summary!$A:$A,Squad_Team_Summary!$F:$F)-_xlfn.XLOOKUP(D157,Squad_Team_Summary!$A:$A,Squad_Team_Summary!$F:$F)</f>
        <v>1.2691999999999837</v>
      </c>
      <c r="R157">
        <f>_xlfn.XLOOKUP(C157,Squad_Team_Summary!$A:$A,Squad_Team_Summary!$H:$H)-_xlfn.XLOOKUP(D157,Squad_Team_Summary!$A:$A,Squad_Team_Summary!$H:$H)</f>
        <v>0.19230000000000003</v>
      </c>
    </row>
    <row r="158" spans="1:18" x14ac:dyDescent="0.3">
      <c r="A158">
        <v>400021520</v>
      </c>
      <c r="B158" t="s">
        <v>84</v>
      </c>
      <c r="C158" t="s">
        <v>15</v>
      </c>
      <c r="D158" t="s">
        <v>41</v>
      </c>
      <c r="E158" t="s">
        <v>17</v>
      </c>
      <c r="F158">
        <v>2</v>
      </c>
      <c r="G158">
        <v>88.96</v>
      </c>
      <c r="H158">
        <v>1</v>
      </c>
      <c r="I158">
        <v>1</v>
      </c>
      <c r="J158">
        <v>-0.5</v>
      </c>
      <c r="K158">
        <v>1.25</v>
      </c>
      <c r="L158">
        <v>1.823</v>
      </c>
      <c r="M158">
        <v>0</v>
      </c>
      <c r="N158">
        <v>-1</v>
      </c>
      <c r="O158">
        <f>_xlfn.XLOOKUP(C158,Squad_Team_Summary!$A:$A,Squad_Team_Summary!$D:$D)-_xlfn.XLOOKUP(D158,Squad_Team_Summary!$A:$A,Squad_Team_Summary!$D:$D)</f>
        <v>18.038499999999999</v>
      </c>
      <c r="P158">
        <f>_xlfn.XLOOKUP(C158,Squad_Team_Summary!$A:$A,Squad_Team_Summary!$E:$E)-_xlfn.XLOOKUP(D158,Squad_Team_Summary!$A:$A,Squad_Team_Summary!$E:$E)</f>
        <v>1.1922999999999999</v>
      </c>
      <c r="Q158">
        <f>_xlfn.XLOOKUP(C158,Squad_Team_Summary!$A:$A,Squad_Team_Summary!$F:$F)-_xlfn.XLOOKUP(D158,Squad_Team_Summary!$A:$A,Squad_Team_Summary!$F:$F)</f>
        <v>-1.0384999999999991</v>
      </c>
      <c r="R158">
        <f>_xlfn.XLOOKUP(C158,Squad_Team_Summary!$A:$A,Squad_Team_Summary!$H:$H)-_xlfn.XLOOKUP(D158,Squad_Team_Summary!$A:$A,Squad_Team_Summary!$H:$H)</f>
        <v>-0.38460000000000005</v>
      </c>
    </row>
    <row r="159" spans="1:18" x14ac:dyDescent="0.3">
      <c r="A159">
        <v>400021520</v>
      </c>
      <c r="B159" t="s">
        <v>84</v>
      </c>
      <c r="C159" t="s">
        <v>41</v>
      </c>
      <c r="D159" t="s">
        <v>15</v>
      </c>
      <c r="E159" t="s">
        <v>18</v>
      </c>
      <c r="F159">
        <v>0</v>
      </c>
      <c r="G159">
        <v>-88.96</v>
      </c>
      <c r="H159">
        <v>-1</v>
      </c>
      <c r="I159">
        <v>-1</v>
      </c>
      <c r="J159">
        <v>0.5</v>
      </c>
      <c r="K159">
        <v>-1.25</v>
      </c>
      <c r="L159">
        <v>-1.823</v>
      </c>
      <c r="M159">
        <v>0</v>
      </c>
      <c r="N159">
        <v>1</v>
      </c>
      <c r="O159">
        <f>_xlfn.XLOOKUP(C159,Squad_Team_Summary!$A:$A,Squad_Team_Summary!$D:$D)-_xlfn.XLOOKUP(D159,Squad_Team_Summary!$A:$A,Squad_Team_Summary!$D:$D)</f>
        <v>-18.038499999999999</v>
      </c>
      <c r="P159">
        <f>_xlfn.XLOOKUP(C159,Squad_Team_Summary!$A:$A,Squad_Team_Summary!$E:$E)-_xlfn.XLOOKUP(D159,Squad_Team_Summary!$A:$A,Squad_Team_Summary!$E:$E)</f>
        <v>-1.1922999999999999</v>
      </c>
      <c r="Q159">
        <f>_xlfn.XLOOKUP(C159,Squad_Team_Summary!$A:$A,Squad_Team_Summary!$F:$F)-_xlfn.XLOOKUP(D159,Squad_Team_Summary!$A:$A,Squad_Team_Summary!$F:$F)</f>
        <v>1.0384999999999991</v>
      </c>
      <c r="R159">
        <f>_xlfn.XLOOKUP(C159,Squad_Team_Summary!$A:$A,Squad_Team_Summary!$H:$H)-_xlfn.XLOOKUP(D159,Squad_Team_Summary!$A:$A,Squad_Team_Summary!$H:$H)</f>
        <v>0.38460000000000005</v>
      </c>
    </row>
    <row r="160" spans="1:18" x14ac:dyDescent="0.3">
      <c r="A160">
        <v>400021512</v>
      </c>
      <c r="B160" t="s">
        <v>84</v>
      </c>
      <c r="C160" t="s">
        <v>65</v>
      </c>
      <c r="D160" t="s">
        <v>64</v>
      </c>
      <c r="E160" t="s">
        <v>17</v>
      </c>
      <c r="F160">
        <v>2</v>
      </c>
      <c r="G160">
        <v>353.59</v>
      </c>
      <c r="H160">
        <v>0</v>
      </c>
      <c r="I160">
        <v>0.5</v>
      </c>
      <c r="J160">
        <v>-0.25</v>
      </c>
      <c r="K160">
        <v>0.75</v>
      </c>
      <c r="L160">
        <v>-1.796</v>
      </c>
      <c r="M160">
        <v>0</v>
      </c>
      <c r="N160">
        <v>1</v>
      </c>
      <c r="O160">
        <f>_xlfn.XLOOKUP(C160,Squad_Team_Summary!$A:$A,Squad_Team_Summary!$D:$D)-_xlfn.XLOOKUP(D160,Squad_Team_Summary!$A:$A,Squad_Team_Summary!$D:$D)</f>
        <v>4.2306999999999988</v>
      </c>
      <c r="P160">
        <f>_xlfn.XLOOKUP(C160,Squad_Team_Summary!$A:$A,Squad_Team_Summary!$E:$E)-_xlfn.XLOOKUP(D160,Squad_Team_Summary!$A:$A,Squad_Team_Summary!$E:$E)</f>
        <v>3.2307999999999999</v>
      </c>
      <c r="Q160">
        <f>_xlfn.XLOOKUP(C160,Squad_Team_Summary!$A:$A,Squad_Team_Summary!$F:$F)-_xlfn.XLOOKUP(D160,Squad_Team_Summary!$A:$A,Squad_Team_Summary!$F:$F)</f>
        <v>3.615399999999994</v>
      </c>
      <c r="R160">
        <f>_xlfn.XLOOKUP(C160,Squad_Team_Summary!$A:$A,Squad_Team_Summary!$H:$H)-_xlfn.XLOOKUP(D160,Squad_Team_Summary!$A:$A,Squad_Team_Summary!$H:$H)</f>
        <v>-0.80769999999999997</v>
      </c>
    </row>
    <row r="161" spans="1:18" x14ac:dyDescent="0.3">
      <c r="A161">
        <v>400021512</v>
      </c>
      <c r="B161" t="s">
        <v>84</v>
      </c>
      <c r="C161" t="s">
        <v>64</v>
      </c>
      <c r="D161" t="s">
        <v>65</v>
      </c>
      <c r="E161" t="s">
        <v>18</v>
      </c>
      <c r="F161">
        <v>1</v>
      </c>
      <c r="G161">
        <v>-353.59</v>
      </c>
      <c r="H161">
        <v>0</v>
      </c>
      <c r="I161">
        <v>-0.5</v>
      </c>
      <c r="J161">
        <v>0.25</v>
      </c>
      <c r="K161">
        <v>-0.75</v>
      </c>
      <c r="L161">
        <v>1.796</v>
      </c>
      <c r="M161">
        <v>0</v>
      </c>
      <c r="N161">
        <v>-1</v>
      </c>
      <c r="O161">
        <f>_xlfn.XLOOKUP(C161,Squad_Team_Summary!$A:$A,Squad_Team_Summary!$D:$D)-_xlfn.XLOOKUP(D161,Squad_Team_Summary!$A:$A,Squad_Team_Summary!$D:$D)</f>
        <v>-4.2306999999999988</v>
      </c>
      <c r="P161">
        <f>_xlfn.XLOOKUP(C161,Squad_Team_Summary!$A:$A,Squad_Team_Summary!$E:$E)-_xlfn.XLOOKUP(D161,Squad_Team_Summary!$A:$A,Squad_Team_Summary!$E:$E)</f>
        <v>-3.2307999999999999</v>
      </c>
      <c r="Q161">
        <f>_xlfn.XLOOKUP(C161,Squad_Team_Summary!$A:$A,Squad_Team_Summary!$F:$F)-_xlfn.XLOOKUP(D161,Squad_Team_Summary!$A:$A,Squad_Team_Summary!$F:$F)</f>
        <v>-3.615399999999994</v>
      </c>
      <c r="R161">
        <f>_xlfn.XLOOKUP(C161,Squad_Team_Summary!$A:$A,Squad_Team_Summary!$H:$H)-_xlfn.XLOOKUP(D161,Squad_Team_Summary!$A:$A,Squad_Team_Summary!$H:$H)</f>
        <v>0.80769999999999997</v>
      </c>
    </row>
    <row r="162" spans="1:18" x14ac:dyDescent="0.3">
      <c r="A162">
        <v>400021525</v>
      </c>
      <c r="B162" t="s">
        <v>84</v>
      </c>
      <c r="C162" t="s">
        <v>47</v>
      </c>
      <c r="D162" t="s">
        <v>55</v>
      </c>
      <c r="E162" t="s">
        <v>17</v>
      </c>
      <c r="F162">
        <v>3</v>
      </c>
      <c r="G162">
        <v>58.17</v>
      </c>
      <c r="H162">
        <v>0</v>
      </c>
      <c r="I162">
        <v>-0.5</v>
      </c>
      <c r="J162">
        <v>-1</v>
      </c>
      <c r="K162">
        <v>0.5</v>
      </c>
      <c r="L162">
        <v>0.52700000000000002</v>
      </c>
      <c r="M162">
        <v>-1</v>
      </c>
      <c r="N162">
        <v>1</v>
      </c>
      <c r="O162">
        <f>_xlfn.XLOOKUP(C162,Squad_Team_Summary!$A:$A,Squad_Team_Summary!$D:$D)-_xlfn.XLOOKUP(D162,Squad_Team_Summary!$A:$A,Squad_Team_Summary!$D:$D)</f>
        <v>3.8845999999999989</v>
      </c>
      <c r="P162">
        <f>_xlfn.XLOOKUP(C162,Squad_Team_Summary!$A:$A,Squad_Team_Summary!$E:$E)-_xlfn.XLOOKUP(D162,Squad_Team_Summary!$A:$A,Squad_Team_Summary!$E:$E)</f>
        <v>3.3077000000000005</v>
      </c>
      <c r="Q162">
        <f>_xlfn.XLOOKUP(C162,Squad_Team_Summary!$A:$A,Squad_Team_Summary!$F:$F)-_xlfn.XLOOKUP(D162,Squad_Team_Summary!$A:$A,Squad_Team_Summary!$F:$F)</f>
        <v>1.8462000000000103</v>
      </c>
      <c r="R162">
        <f>_xlfn.XLOOKUP(C162,Squad_Team_Summary!$A:$A,Squad_Team_Summary!$H:$H)-_xlfn.XLOOKUP(D162,Squad_Team_Summary!$A:$A,Squad_Team_Summary!$H:$H)</f>
        <v>-0.11539999999999995</v>
      </c>
    </row>
    <row r="163" spans="1:18" x14ac:dyDescent="0.3">
      <c r="A163">
        <v>400021525</v>
      </c>
      <c r="B163" t="s">
        <v>84</v>
      </c>
      <c r="C163" t="s">
        <v>55</v>
      </c>
      <c r="D163" t="s">
        <v>47</v>
      </c>
      <c r="E163" t="s">
        <v>18</v>
      </c>
      <c r="F163">
        <v>2</v>
      </c>
      <c r="G163">
        <v>-58.17</v>
      </c>
      <c r="H163">
        <v>0</v>
      </c>
      <c r="I163">
        <v>0.5</v>
      </c>
      <c r="J163">
        <v>1</v>
      </c>
      <c r="K163">
        <v>-0.5</v>
      </c>
      <c r="L163">
        <v>-0.52700000000000002</v>
      </c>
      <c r="M163">
        <v>1</v>
      </c>
      <c r="N163">
        <v>-1</v>
      </c>
      <c r="O163">
        <f>_xlfn.XLOOKUP(C163,Squad_Team_Summary!$A:$A,Squad_Team_Summary!$D:$D)-_xlfn.XLOOKUP(D163,Squad_Team_Summary!$A:$A,Squad_Team_Summary!$D:$D)</f>
        <v>-3.8845999999999989</v>
      </c>
      <c r="P163">
        <f>_xlfn.XLOOKUP(C163,Squad_Team_Summary!$A:$A,Squad_Team_Summary!$E:$E)-_xlfn.XLOOKUP(D163,Squad_Team_Summary!$A:$A,Squad_Team_Summary!$E:$E)</f>
        <v>-3.3077000000000005</v>
      </c>
      <c r="Q163">
        <f>_xlfn.XLOOKUP(C163,Squad_Team_Summary!$A:$A,Squad_Team_Summary!$F:$F)-_xlfn.XLOOKUP(D163,Squad_Team_Summary!$A:$A,Squad_Team_Summary!$F:$F)</f>
        <v>-1.8462000000000103</v>
      </c>
      <c r="R163">
        <f>_xlfn.XLOOKUP(C163,Squad_Team_Summary!$A:$A,Squad_Team_Summary!$H:$H)-_xlfn.XLOOKUP(D163,Squad_Team_Summary!$A:$A,Squad_Team_Summary!$H:$H)</f>
        <v>0.11539999999999995</v>
      </c>
    </row>
    <row r="164" spans="1:18" x14ac:dyDescent="0.3">
      <c r="A164">
        <v>400021524</v>
      </c>
      <c r="B164" t="s">
        <v>85</v>
      </c>
      <c r="C164" t="s">
        <v>25</v>
      </c>
      <c r="D164" t="s">
        <v>23</v>
      </c>
      <c r="E164" t="s">
        <v>17</v>
      </c>
      <c r="F164">
        <v>2</v>
      </c>
      <c r="G164">
        <v>284.01</v>
      </c>
      <c r="H164">
        <v>1</v>
      </c>
      <c r="I164">
        <v>0.75</v>
      </c>
      <c r="J164">
        <v>-0.5</v>
      </c>
      <c r="K164">
        <v>0.5</v>
      </c>
      <c r="L164">
        <v>0.44800000000000001</v>
      </c>
      <c r="M164">
        <v>-1</v>
      </c>
      <c r="N164">
        <v>-1</v>
      </c>
      <c r="O164">
        <f>_xlfn.XLOOKUP(C164,Squad_Team_Summary!$A:$A,Squad_Team_Summary!$D:$D)-_xlfn.XLOOKUP(D164,Squad_Team_Summary!$A:$A,Squad_Team_Summary!$D:$D)</f>
        <v>14.538399999999999</v>
      </c>
      <c r="P164">
        <f>_xlfn.XLOOKUP(C164,Squad_Team_Summary!$A:$A,Squad_Team_Summary!$E:$E)-_xlfn.XLOOKUP(D164,Squad_Team_Summary!$A:$A,Squad_Team_Summary!$E:$E)</f>
        <v>1.4230000000000005</v>
      </c>
      <c r="Q164">
        <f>_xlfn.XLOOKUP(C164,Squad_Team_Summary!$A:$A,Squad_Team_Summary!$F:$F)-_xlfn.XLOOKUP(D164,Squad_Team_Summary!$A:$A,Squad_Team_Summary!$F:$F)</f>
        <v>-3.6922999999999888</v>
      </c>
      <c r="R164">
        <f>_xlfn.XLOOKUP(C164,Squad_Team_Summary!$A:$A,Squad_Team_Summary!$H:$H)-_xlfn.XLOOKUP(D164,Squad_Team_Summary!$A:$A,Squad_Team_Summary!$H:$H)</f>
        <v>-0.23070000000000002</v>
      </c>
    </row>
    <row r="165" spans="1:18" x14ac:dyDescent="0.3">
      <c r="A165">
        <v>400021524</v>
      </c>
      <c r="B165" t="s">
        <v>85</v>
      </c>
      <c r="C165" t="s">
        <v>23</v>
      </c>
      <c r="D165" t="s">
        <v>25</v>
      </c>
      <c r="E165" t="s">
        <v>18</v>
      </c>
      <c r="F165">
        <v>0</v>
      </c>
      <c r="G165">
        <v>-284.01</v>
      </c>
      <c r="H165">
        <v>-1</v>
      </c>
      <c r="I165">
        <v>-0.75</v>
      </c>
      <c r="J165">
        <v>0.5</v>
      </c>
      <c r="K165">
        <v>-0.5</v>
      </c>
      <c r="L165">
        <v>-0.44800000000000001</v>
      </c>
      <c r="M165">
        <v>1</v>
      </c>
      <c r="N165">
        <v>1</v>
      </c>
      <c r="O165">
        <f>_xlfn.XLOOKUP(C165,Squad_Team_Summary!$A:$A,Squad_Team_Summary!$D:$D)-_xlfn.XLOOKUP(D165,Squad_Team_Summary!$A:$A,Squad_Team_Summary!$D:$D)</f>
        <v>-14.538399999999999</v>
      </c>
      <c r="P165">
        <f>_xlfn.XLOOKUP(C165,Squad_Team_Summary!$A:$A,Squad_Team_Summary!$E:$E)-_xlfn.XLOOKUP(D165,Squad_Team_Summary!$A:$A,Squad_Team_Summary!$E:$E)</f>
        <v>-1.4230000000000005</v>
      </c>
      <c r="Q165">
        <f>_xlfn.XLOOKUP(C165,Squad_Team_Summary!$A:$A,Squad_Team_Summary!$F:$F)-_xlfn.XLOOKUP(D165,Squad_Team_Summary!$A:$A,Squad_Team_Summary!$F:$F)</f>
        <v>3.6922999999999888</v>
      </c>
      <c r="R165">
        <f>_xlfn.XLOOKUP(C165,Squad_Team_Summary!$A:$A,Squad_Team_Summary!$H:$H)-_xlfn.XLOOKUP(D165,Squad_Team_Summary!$A:$A,Squad_Team_Summary!$H:$H)</f>
        <v>0.23070000000000002</v>
      </c>
    </row>
    <row r="166" spans="1:18" x14ac:dyDescent="0.3">
      <c r="A166">
        <v>400021519</v>
      </c>
      <c r="B166" t="s">
        <v>85</v>
      </c>
      <c r="C166" t="s">
        <v>45</v>
      </c>
      <c r="D166" t="s">
        <v>61</v>
      </c>
      <c r="E166" t="s">
        <v>17</v>
      </c>
      <c r="F166">
        <v>3</v>
      </c>
      <c r="G166">
        <v>277.31</v>
      </c>
      <c r="H166">
        <v>0</v>
      </c>
      <c r="I166">
        <v>-0.25</v>
      </c>
      <c r="J166">
        <v>-1.5</v>
      </c>
      <c r="K166">
        <v>0.75</v>
      </c>
      <c r="L166">
        <v>-1.8640000000000001</v>
      </c>
      <c r="M166">
        <v>1</v>
      </c>
      <c r="N166">
        <v>0</v>
      </c>
      <c r="O166">
        <f>_xlfn.XLOOKUP(C166,Squad_Team_Summary!$A:$A,Squad_Team_Summary!$D:$D)-_xlfn.XLOOKUP(D166,Squad_Team_Summary!$A:$A,Squad_Team_Summary!$D:$D)</f>
        <v>-7.6538000000000039</v>
      </c>
      <c r="P166">
        <f>_xlfn.XLOOKUP(C166,Squad_Team_Summary!$A:$A,Squad_Team_Summary!$E:$E)-_xlfn.XLOOKUP(D166,Squad_Team_Summary!$A:$A,Squad_Team_Summary!$E:$E)</f>
        <v>-0.92309999999999981</v>
      </c>
      <c r="Q166">
        <f>_xlfn.XLOOKUP(C166,Squad_Team_Summary!$A:$A,Squad_Team_Summary!$F:$F)-_xlfn.XLOOKUP(D166,Squad_Team_Summary!$A:$A,Squad_Team_Summary!$F:$F)</f>
        <v>-3.230700000000013</v>
      </c>
      <c r="R166">
        <f>_xlfn.XLOOKUP(C166,Squad_Team_Summary!$A:$A,Squad_Team_Summary!$H:$H)-_xlfn.XLOOKUP(D166,Squad_Team_Summary!$A:$A,Squad_Team_Summary!$H:$H)</f>
        <v>-0.53839999999999999</v>
      </c>
    </row>
    <row r="167" spans="1:18" x14ac:dyDescent="0.3">
      <c r="A167">
        <v>400021519</v>
      </c>
      <c r="B167" t="s">
        <v>85</v>
      </c>
      <c r="C167" t="s">
        <v>61</v>
      </c>
      <c r="D167" t="s">
        <v>45</v>
      </c>
      <c r="E167" t="s">
        <v>18</v>
      </c>
      <c r="F167">
        <v>0</v>
      </c>
      <c r="G167">
        <v>-277.31</v>
      </c>
      <c r="H167">
        <v>0</v>
      </c>
      <c r="I167">
        <v>0.25</v>
      </c>
      <c r="J167">
        <v>1.5</v>
      </c>
      <c r="K167">
        <v>-0.75</v>
      </c>
      <c r="L167">
        <v>1.8640000000000001</v>
      </c>
      <c r="M167">
        <v>-1</v>
      </c>
      <c r="N167">
        <v>0</v>
      </c>
      <c r="O167">
        <f>_xlfn.XLOOKUP(C167,Squad_Team_Summary!$A:$A,Squad_Team_Summary!$D:$D)-_xlfn.XLOOKUP(D167,Squad_Team_Summary!$A:$A,Squad_Team_Summary!$D:$D)</f>
        <v>7.6538000000000039</v>
      </c>
      <c r="P167">
        <f>_xlfn.XLOOKUP(C167,Squad_Team_Summary!$A:$A,Squad_Team_Summary!$E:$E)-_xlfn.XLOOKUP(D167,Squad_Team_Summary!$A:$A,Squad_Team_Summary!$E:$E)</f>
        <v>0.92309999999999981</v>
      </c>
      <c r="Q167">
        <f>_xlfn.XLOOKUP(C167,Squad_Team_Summary!$A:$A,Squad_Team_Summary!$F:$F)-_xlfn.XLOOKUP(D167,Squad_Team_Summary!$A:$A,Squad_Team_Summary!$F:$F)</f>
        <v>3.230700000000013</v>
      </c>
      <c r="R167">
        <f>_xlfn.XLOOKUP(C167,Squad_Team_Summary!$A:$A,Squad_Team_Summary!$H:$H)-_xlfn.XLOOKUP(D167,Squad_Team_Summary!$A:$A,Squad_Team_Summary!$H:$H)</f>
        <v>0.53839999999999999</v>
      </c>
    </row>
    <row r="168" spans="1:18" x14ac:dyDescent="0.3">
      <c r="A168">
        <v>400021526</v>
      </c>
      <c r="B168" t="s">
        <v>85</v>
      </c>
      <c r="C168" t="s">
        <v>63</v>
      </c>
      <c r="D168" t="s">
        <v>66</v>
      </c>
      <c r="E168" t="s">
        <v>17</v>
      </c>
      <c r="F168">
        <v>2</v>
      </c>
      <c r="G168">
        <v>52.98</v>
      </c>
      <c r="H168">
        <v>0</v>
      </c>
      <c r="I168">
        <v>0.25</v>
      </c>
      <c r="J168">
        <v>-1</v>
      </c>
      <c r="K168">
        <v>-0.25</v>
      </c>
      <c r="L168">
        <v>-0.29299999999999998</v>
      </c>
      <c r="M168">
        <v>0</v>
      </c>
      <c r="N168">
        <v>0</v>
      </c>
      <c r="O168">
        <f>_xlfn.XLOOKUP(C168,Squad_Team_Summary!$A:$A,Squad_Team_Summary!$D:$D)-_xlfn.XLOOKUP(D168,Squad_Team_Summary!$A:$A,Squad_Team_Summary!$D:$D)</f>
        <v>0.69230000000000302</v>
      </c>
      <c r="P168">
        <f>_xlfn.XLOOKUP(C168,Squad_Team_Summary!$A:$A,Squad_Team_Summary!$E:$E)-_xlfn.XLOOKUP(D168,Squad_Team_Summary!$A:$A,Squad_Team_Summary!$E:$E)</f>
        <v>4.1154000000000002</v>
      </c>
      <c r="Q168">
        <f>_xlfn.XLOOKUP(C168,Squad_Team_Summary!$A:$A,Squad_Team_Summary!$F:$F)-_xlfn.XLOOKUP(D168,Squad_Team_Summary!$A:$A,Squad_Team_Summary!$F:$F)</f>
        <v>-3.2692000000000121</v>
      </c>
      <c r="R168">
        <f>_xlfn.XLOOKUP(C168,Squad_Team_Summary!$A:$A,Squad_Team_Summary!$H:$H)-_xlfn.XLOOKUP(D168,Squad_Team_Summary!$A:$A,Squad_Team_Summary!$H:$H)</f>
        <v>-0.11540000000000006</v>
      </c>
    </row>
    <row r="169" spans="1:18" x14ac:dyDescent="0.3">
      <c r="A169">
        <v>400021526</v>
      </c>
      <c r="B169" t="s">
        <v>85</v>
      </c>
      <c r="C169" t="s">
        <v>66</v>
      </c>
      <c r="D169" t="s">
        <v>63</v>
      </c>
      <c r="E169" t="s">
        <v>18</v>
      </c>
      <c r="F169">
        <v>1</v>
      </c>
      <c r="G169">
        <v>-52.98</v>
      </c>
      <c r="H169">
        <v>0</v>
      </c>
      <c r="I169">
        <v>-0.25</v>
      </c>
      <c r="J169">
        <v>1</v>
      </c>
      <c r="K169">
        <v>0.25</v>
      </c>
      <c r="L169">
        <v>0.29299999999999998</v>
      </c>
      <c r="M169">
        <v>0</v>
      </c>
      <c r="N169">
        <v>0</v>
      </c>
      <c r="O169">
        <f>_xlfn.XLOOKUP(C169,Squad_Team_Summary!$A:$A,Squad_Team_Summary!$D:$D)-_xlfn.XLOOKUP(D169,Squad_Team_Summary!$A:$A,Squad_Team_Summary!$D:$D)</f>
        <v>-0.69230000000000302</v>
      </c>
      <c r="P169">
        <f>_xlfn.XLOOKUP(C169,Squad_Team_Summary!$A:$A,Squad_Team_Summary!$E:$E)-_xlfn.XLOOKUP(D169,Squad_Team_Summary!$A:$A,Squad_Team_Summary!$E:$E)</f>
        <v>-4.1154000000000002</v>
      </c>
      <c r="Q169">
        <f>_xlfn.XLOOKUP(C169,Squad_Team_Summary!$A:$A,Squad_Team_Summary!$F:$F)-_xlfn.XLOOKUP(D169,Squad_Team_Summary!$A:$A,Squad_Team_Summary!$F:$F)</f>
        <v>3.2692000000000121</v>
      </c>
      <c r="R169">
        <f>_xlfn.XLOOKUP(C169,Squad_Team_Summary!$A:$A,Squad_Team_Summary!$H:$H)-_xlfn.XLOOKUP(D169,Squad_Team_Summary!$A:$A,Squad_Team_Summary!$H:$H)</f>
        <v>0.11540000000000006</v>
      </c>
    </row>
    <row r="170" spans="1:18" x14ac:dyDescent="0.3">
      <c r="A170">
        <v>400021527</v>
      </c>
      <c r="B170" t="s">
        <v>86</v>
      </c>
      <c r="C170" t="s">
        <v>28</v>
      </c>
      <c r="D170" t="s">
        <v>60</v>
      </c>
      <c r="E170" t="s">
        <v>17</v>
      </c>
      <c r="F170">
        <v>2</v>
      </c>
      <c r="G170">
        <v>79.03</v>
      </c>
      <c r="H170">
        <v>0</v>
      </c>
      <c r="I170">
        <v>0.5</v>
      </c>
      <c r="J170">
        <v>-1</v>
      </c>
      <c r="K170">
        <v>0.75</v>
      </c>
      <c r="L170">
        <v>1.45</v>
      </c>
      <c r="M170">
        <v>2</v>
      </c>
      <c r="N170">
        <v>1</v>
      </c>
      <c r="O170">
        <f>_xlfn.XLOOKUP(C170,Squad_Team_Summary!$A:$A,Squad_Team_Summary!$D:$D)-_xlfn.XLOOKUP(D170,Squad_Team_Summary!$A:$A,Squad_Team_Summary!$D:$D)</f>
        <v>15</v>
      </c>
      <c r="P170">
        <f>_xlfn.XLOOKUP(C170,Squad_Team_Summary!$A:$A,Squad_Team_Summary!$E:$E)-_xlfn.XLOOKUP(D170,Squad_Team_Summary!$A:$A,Squad_Team_Summary!$E:$E)</f>
        <v>0.30760000000000076</v>
      </c>
      <c r="Q170">
        <f>_xlfn.XLOOKUP(C170,Squad_Team_Summary!$A:$A,Squad_Team_Summary!$F:$F)-_xlfn.XLOOKUP(D170,Squad_Team_Summary!$A:$A,Squad_Team_Summary!$F:$F)</f>
        <v>2.5769999999999982</v>
      </c>
      <c r="R170">
        <f>_xlfn.XLOOKUP(C170,Squad_Team_Summary!$A:$A,Squad_Team_Summary!$H:$H)-_xlfn.XLOOKUP(D170,Squad_Team_Summary!$A:$A,Squad_Team_Summary!$H:$H)</f>
        <v>3.8499999999999979E-2</v>
      </c>
    </row>
    <row r="171" spans="1:18" x14ac:dyDescent="0.3">
      <c r="A171">
        <v>400021527</v>
      </c>
      <c r="B171" t="s">
        <v>86</v>
      </c>
      <c r="C171" t="s">
        <v>60</v>
      </c>
      <c r="D171" t="s">
        <v>28</v>
      </c>
      <c r="E171" t="s">
        <v>18</v>
      </c>
      <c r="F171">
        <v>0</v>
      </c>
      <c r="G171">
        <v>-79.03</v>
      </c>
      <c r="H171">
        <v>0</v>
      </c>
      <c r="I171">
        <v>-0.5</v>
      </c>
      <c r="J171">
        <v>1</v>
      </c>
      <c r="K171">
        <v>-0.75</v>
      </c>
      <c r="L171">
        <v>-1.45</v>
      </c>
      <c r="M171">
        <v>-2</v>
      </c>
      <c r="N171">
        <v>-1</v>
      </c>
      <c r="O171">
        <f>_xlfn.XLOOKUP(C171,Squad_Team_Summary!$A:$A,Squad_Team_Summary!$D:$D)-_xlfn.XLOOKUP(D171,Squad_Team_Summary!$A:$A,Squad_Team_Summary!$D:$D)</f>
        <v>-15</v>
      </c>
      <c r="P171">
        <f>_xlfn.XLOOKUP(C171,Squad_Team_Summary!$A:$A,Squad_Team_Summary!$E:$E)-_xlfn.XLOOKUP(D171,Squad_Team_Summary!$A:$A,Squad_Team_Summary!$E:$E)</f>
        <v>-0.30760000000000076</v>
      </c>
      <c r="Q171">
        <f>_xlfn.XLOOKUP(C171,Squad_Team_Summary!$A:$A,Squad_Team_Summary!$F:$F)-_xlfn.XLOOKUP(D171,Squad_Team_Summary!$A:$A,Squad_Team_Summary!$F:$F)</f>
        <v>-2.5769999999999982</v>
      </c>
      <c r="R171">
        <f>_xlfn.XLOOKUP(C171,Squad_Team_Summary!$A:$A,Squad_Team_Summary!$H:$H)-_xlfn.XLOOKUP(D171,Squad_Team_Summary!$A:$A,Squad_Team_Summary!$H:$H)</f>
        <v>-3.8499999999999979E-2</v>
      </c>
    </row>
    <row r="172" spans="1:18" x14ac:dyDescent="0.3">
      <c r="A172">
        <v>400021515</v>
      </c>
      <c r="B172" t="s">
        <v>86</v>
      </c>
      <c r="C172" t="s">
        <v>34</v>
      </c>
      <c r="D172" t="s">
        <v>48</v>
      </c>
      <c r="E172" t="s">
        <v>17</v>
      </c>
      <c r="F172">
        <v>1</v>
      </c>
      <c r="G172">
        <v>16.97</v>
      </c>
      <c r="H172">
        <v>0</v>
      </c>
      <c r="I172">
        <v>-0.75</v>
      </c>
      <c r="J172">
        <v>-0.25</v>
      </c>
      <c r="K172">
        <v>-0.25</v>
      </c>
      <c r="L172">
        <v>-1.6990000000000001</v>
      </c>
      <c r="M172">
        <v>1</v>
      </c>
      <c r="N172">
        <v>0</v>
      </c>
      <c r="O172">
        <f>_xlfn.XLOOKUP(C172,Squad_Team_Summary!$A:$A,Squad_Team_Summary!$D:$D)-_xlfn.XLOOKUP(D172,Squad_Team_Summary!$A:$A,Squad_Team_Summary!$D:$D)</f>
        <v>-4.3461999999999996</v>
      </c>
      <c r="P172">
        <f>_xlfn.XLOOKUP(C172,Squad_Team_Summary!$A:$A,Squad_Team_Summary!$E:$E)-_xlfn.XLOOKUP(D172,Squad_Team_Summary!$A:$A,Squad_Team_Summary!$E:$E)</f>
        <v>-2.3462000000000005</v>
      </c>
      <c r="Q172">
        <f>_xlfn.XLOOKUP(C172,Squad_Team_Summary!$A:$A,Squad_Team_Summary!$F:$F)-_xlfn.XLOOKUP(D172,Squad_Team_Summary!$A:$A,Squad_Team_Summary!$F:$F)</f>
        <v>2.384600000000006</v>
      </c>
      <c r="R172">
        <f>_xlfn.XLOOKUP(C172,Squad_Team_Summary!$A:$A,Squad_Team_Summary!$H:$H)-_xlfn.XLOOKUP(D172,Squad_Team_Summary!$A:$A,Squad_Team_Summary!$H:$H)</f>
        <v>0.46149999999999997</v>
      </c>
    </row>
    <row r="173" spans="1:18" x14ac:dyDescent="0.3">
      <c r="A173">
        <v>400021515</v>
      </c>
      <c r="B173" t="s">
        <v>86</v>
      </c>
      <c r="C173" t="s">
        <v>48</v>
      </c>
      <c r="D173" t="s">
        <v>34</v>
      </c>
      <c r="E173" t="s">
        <v>18</v>
      </c>
      <c r="F173">
        <v>1</v>
      </c>
      <c r="G173">
        <v>-16.97</v>
      </c>
      <c r="H173">
        <v>0</v>
      </c>
      <c r="I173">
        <v>0.75</v>
      </c>
      <c r="J173">
        <v>0.25</v>
      </c>
      <c r="K173">
        <v>0.25</v>
      </c>
      <c r="L173">
        <v>1.6990000000000001</v>
      </c>
      <c r="M173">
        <v>-1</v>
      </c>
      <c r="N173">
        <v>0</v>
      </c>
      <c r="O173">
        <f>_xlfn.XLOOKUP(C173,Squad_Team_Summary!$A:$A,Squad_Team_Summary!$D:$D)-_xlfn.XLOOKUP(D173,Squad_Team_Summary!$A:$A,Squad_Team_Summary!$D:$D)</f>
        <v>4.3461999999999996</v>
      </c>
      <c r="P173">
        <f>_xlfn.XLOOKUP(C173,Squad_Team_Summary!$A:$A,Squad_Team_Summary!$E:$E)-_xlfn.XLOOKUP(D173,Squad_Team_Summary!$A:$A,Squad_Team_Summary!$E:$E)</f>
        <v>2.3462000000000005</v>
      </c>
      <c r="Q173">
        <f>_xlfn.XLOOKUP(C173,Squad_Team_Summary!$A:$A,Squad_Team_Summary!$F:$F)-_xlfn.XLOOKUP(D173,Squad_Team_Summary!$A:$A,Squad_Team_Summary!$F:$F)</f>
        <v>-2.384600000000006</v>
      </c>
      <c r="R173">
        <f>_xlfn.XLOOKUP(C173,Squad_Team_Summary!$A:$A,Squad_Team_Summary!$H:$H)-_xlfn.XLOOKUP(D173,Squad_Team_Summary!$A:$A,Squad_Team_Summary!$H:$H)</f>
        <v>-0.46149999999999997</v>
      </c>
    </row>
    <row r="174" spans="1:18" x14ac:dyDescent="0.3">
      <c r="A174">
        <v>400021521</v>
      </c>
      <c r="B174" t="s">
        <v>86</v>
      </c>
      <c r="C174" t="s">
        <v>59</v>
      </c>
      <c r="D174" t="s">
        <v>46</v>
      </c>
      <c r="E174" t="s">
        <v>17</v>
      </c>
      <c r="F174">
        <v>3</v>
      </c>
      <c r="G174">
        <v>506.16</v>
      </c>
      <c r="H174">
        <v>0</v>
      </c>
      <c r="I174">
        <v>1.5</v>
      </c>
      <c r="J174">
        <v>-0.25</v>
      </c>
      <c r="K174">
        <v>1.5</v>
      </c>
      <c r="L174">
        <v>-0.55800000000000005</v>
      </c>
      <c r="M174">
        <v>-1</v>
      </c>
      <c r="N174">
        <v>1</v>
      </c>
      <c r="O174">
        <f>_xlfn.XLOOKUP(C174,Squad_Team_Summary!$A:$A,Squad_Team_Summary!$D:$D)-_xlfn.XLOOKUP(D174,Squad_Team_Summary!$A:$A,Squad_Team_Summary!$D:$D)</f>
        <v>18.884599999999999</v>
      </c>
      <c r="P174">
        <f>_xlfn.XLOOKUP(C174,Squad_Team_Summary!$A:$A,Squad_Team_Summary!$E:$E)-_xlfn.XLOOKUP(D174,Squad_Team_Summary!$A:$A,Squad_Team_Summary!$E:$E)</f>
        <v>6.2306999999999997</v>
      </c>
      <c r="Q174">
        <f>_xlfn.XLOOKUP(C174,Squad_Team_Summary!$A:$A,Squad_Team_Summary!$F:$F)-_xlfn.XLOOKUP(D174,Squad_Team_Summary!$A:$A,Squad_Team_Summary!$F:$F)</f>
        <v>-1.7693000000000154</v>
      </c>
      <c r="R174">
        <f>_xlfn.XLOOKUP(C174,Squad_Team_Summary!$A:$A,Squad_Team_Summary!$H:$H)-_xlfn.XLOOKUP(D174,Squad_Team_Summary!$A:$A,Squad_Team_Summary!$H:$H)</f>
        <v>-7.6899999999999968E-2</v>
      </c>
    </row>
    <row r="175" spans="1:18" x14ac:dyDescent="0.3">
      <c r="A175">
        <v>400021521</v>
      </c>
      <c r="B175" t="s">
        <v>86</v>
      </c>
      <c r="C175" t="s">
        <v>46</v>
      </c>
      <c r="D175" t="s">
        <v>59</v>
      </c>
      <c r="E175" t="s">
        <v>18</v>
      </c>
      <c r="F175">
        <v>2</v>
      </c>
      <c r="G175">
        <v>-506.16</v>
      </c>
      <c r="H175">
        <v>0</v>
      </c>
      <c r="I175">
        <v>-1.5</v>
      </c>
      <c r="J175">
        <v>0.25</v>
      </c>
      <c r="K175">
        <v>-1.5</v>
      </c>
      <c r="L175">
        <v>0.55800000000000005</v>
      </c>
      <c r="M175">
        <v>1</v>
      </c>
      <c r="N175">
        <v>-1</v>
      </c>
      <c r="O175">
        <f>_xlfn.XLOOKUP(C175,Squad_Team_Summary!$A:$A,Squad_Team_Summary!$D:$D)-_xlfn.XLOOKUP(D175,Squad_Team_Summary!$A:$A,Squad_Team_Summary!$D:$D)</f>
        <v>-18.884599999999999</v>
      </c>
      <c r="P175">
        <f>_xlfn.XLOOKUP(C175,Squad_Team_Summary!$A:$A,Squad_Team_Summary!$E:$E)-_xlfn.XLOOKUP(D175,Squad_Team_Summary!$A:$A,Squad_Team_Summary!$E:$E)</f>
        <v>-6.2306999999999997</v>
      </c>
      <c r="Q175">
        <f>_xlfn.XLOOKUP(C175,Squad_Team_Summary!$A:$A,Squad_Team_Summary!$F:$F)-_xlfn.XLOOKUP(D175,Squad_Team_Summary!$A:$A,Squad_Team_Summary!$F:$F)</f>
        <v>1.7693000000000154</v>
      </c>
      <c r="R175">
        <f>_xlfn.XLOOKUP(C175,Squad_Team_Summary!$A:$A,Squad_Team_Summary!$H:$H)-_xlfn.XLOOKUP(D175,Squad_Team_Summary!$A:$A,Squad_Team_Summary!$H:$H)</f>
        <v>7.6899999999999968E-2</v>
      </c>
    </row>
    <row r="176" spans="1:18" x14ac:dyDescent="0.3">
      <c r="A176">
        <v>400021517</v>
      </c>
      <c r="B176" t="s">
        <v>87</v>
      </c>
      <c r="C176" t="s">
        <v>71</v>
      </c>
      <c r="D176" t="s">
        <v>67</v>
      </c>
      <c r="E176" t="s">
        <v>17</v>
      </c>
      <c r="F176">
        <v>1</v>
      </c>
      <c r="G176">
        <v>351.47</v>
      </c>
      <c r="H176">
        <v>0</v>
      </c>
      <c r="I176">
        <v>0.5</v>
      </c>
      <c r="J176">
        <v>-0.25</v>
      </c>
      <c r="K176">
        <v>0.75</v>
      </c>
      <c r="L176">
        <v>3.1139999999999999</v>
      </c>
      <c r="M176">
        <v>0</v>
      </c>
      <c r="N176">
        <v>1</v>
      </c>
      <c r="O176">
        <f>_xlfn.XLOOKUP(C176,Squad_Team_Summary!$A:$A,Squad_Team_Summary!$D:$D)-_xlfn.XLOOKUP(D176,Squad_Team_Summary!$A:$A,Squad_Team_Summary!$D:$D)</f>
        <v>18.769200000000001</v>
      </c>
      <c r="P176">
        <f>_xlfn.XLOOKUP(C176,Squad_Team_Summary!$A:$A,Squad_Team_Summary!$E:$E)-_xlfn.XLOOKUP(D176,Squad_Team_Summary!$A:$A,Squad_Team_Summary!$E:$E)</f>
        <v>1.6538999999999997</v>
      </c>
      <c r="Q176">
        <f>_xlfn.XLOOKUP(C176,Squad_Team_Summary!$A:$A,Squad_Team_Summary!$F:$F)-_xlfn.XLOOKUP(D176,Squad_Team_Summary!$A:$A,Squad_Team_Summary!$F:$F)</f>
        <v>-2.615399999999994</v>
      </c>
      <c r="R176">
        <f>_xlfn.XLOOKUP(C176,Squad_Team_Summary!$A:$A,Squad_Team_Summary!$H:$H)-_xlfn.XLOOKUP(D176,Squad_Team_Summary!$A:$A,Squad_Team_Summary!$H:$H)</f>
        <v>0</v>
      </c>
    </row>
    <row r="177" spans="1:18" x14ac:dyDescent="0.3">
      <c r="A177">
        <v>400021517</v>
      </c>
      <c r="B177" t="s">
        <v>87</v>
      </c>
      <c r="C177" t="s">
        <v>67</v>
      </c>
      <c r="D177" t="s">
        <v>71</v>
      </c>
      <c r="E177" t="s">
        <v>18</v>
      </c>
      <c r="F177">
        <v>0</v>
      </c>
      <c r="G177">
        <v>-351.47</v>
      </c>
      <c r="H177">
        <v>0</v>
      </c>
      <c r="I177">
        <v>-0.5</v>
      </c>
      <c r="J177">
        <v>0.25</v>
      </c>
      <c r="K177">
        <v>-0.75</v>
      </c>
      <c r="L177">
        <v>-3.1139999999999999</v>
      </c>
      <c r="M177">
        <v>0</v>
      </c>
      <c r="N177">
        <v>-1</v>
      </c>
      <c r="O177">
        <f>_xlfn.XLOOKUP(C177,Squad_Team_Summary!$A:$A,Squad_Team_Summary!$D:$D)-_xlfn.XLOOKUP(D177,Squad_Team_Summary!$A:$A,Squad_Team_Summary!$D:$D)</f>
        <v>-18.769200000000001</v>
      </c>
      <c r="P177">
        <f>_xlfn.XLOOKUP(C177,Squad_Team_Summary!$A:$A,Squad_Team_Summary!$E:$E)-_xlfn.XLOOKUP(D177,Squad_Team_Summary!$A:$A,Squad_Team_Summary!$E:$E)</f>
        <v>-1.6538999999999997</v>
      </c>
      <c r="Q177">
        <f>_xlfn.XLOOKUP(C177,Squad_Team_Summary!$A:$A,Squad_Team_Summary!$F:$F)-_xlfn.XLOOKUP(D177,Squad_Team_Summary!$A:$A,Squad_Team_Summary!$F:$F)</f>
        <v>2.615399999999994</v>
      </c>
      <c r="R177">
        <f>_xlfn.XLOOKUP(C177,Squad_Team_Summary!$A:$A,Squad_Team_Summary!$H:$H)-_xlfn.XLOOKUP(D177,Squad_Team_Summary!$A:$A,Squad_Team_Summary!$H:$H)</f>
        <v>0</v>
      </c>
    </row>
    <row r="178" spans="1:18" x14ac:dyDescent="0.3">
      <c r="A178">
        <v>400021530</v>
      </c>
      <c r="B178" t="s">
        <v>87</v>
      </c>
      <c r="C178" t="s">
        <v>22</v>
      </c>
      <c r="D178" t="s">
        <v>30</v>
      </c>
      <c r="E178" t="s">
        <v>17</v>
      </c>
      <c r="F178">
        <v>0</v>
      </c>
      <c r="G178">
        <v>-195.62</v>
      </c>
      <c r="H178">
        <v>0</v>
      </c>
      <c r="I178">
        <v>0.4</v>
      </c>
      <c r="J178">
        <v>-0.2</v>
      </c>
      <c r="K178">
        <v>-0.2</v>
      </c>
      <c r="L178">
        <v>0.374</v>
      </c>
      <c r="M178">
        <v>2</v>
      </c>
      <c r="N178">
        <v>0</v>
      </c>
      <c r="O178">
        <f>_xlfn.XLOOKUP(C178,Squad_Team_Summary!$A:$A,Squad_Team_Summary!$D:$D)-_xlfn.XLOOKUP(D178,Squad_Team_Summary!$A:$A,Squad_Team_Summary!$D:$D)</f>
        <v>9.0383999999999993</v>
      </c>
      <c r="P178">
        <f>_xlfn.XLOOKUP(C178,Squad_Team_Summary!$A:$A,Squad_Team_Summary!$E:$E)-_xlfn.XLOOKUP(D178,Squad_Team_Summary!$A:$A,Squad_Team_Summary!$E:$E)</f>
        <v>1.2307999999999995</v>
      </c>
      <c r="Q178">
        <f>_xlfn.XLOOKUP(C178,Squad_Team_Summary!$A:$A,Squad_Team_Summary!$F:$F)-_xlfn.XLOOKUP(D178,Squad_Team_Summary!$A:$A,Squad_Team_Summary!$F:$F)</f>
        <v>-7.6899999999994861E-2</v>
      </c>
      <c r="R178">
        <f>_xlfn.XLOOKUP(C178,Squad_Team_Summary!$A:$A,Squad_Team_Summary!$H:$H)-_xlfn.XLOOKUP(D178,Squad_Team_Summary!$A:$A,Squad_Team_Summary!$H:$H)</f>
        <v>0</v>
      </c>
    </row>
    <row r="179" spans="1:18" x14ac:dyDescent="0.3">
      <c r="A179">
        <v>400021530</v>
      </c>
      <c r="B179" t="s">
        <v>87</v>
      </c>
      <c r="C179" t="s">
        <v>30</v>
      </c>
      <c r="D179" t="s">
        <v>22</v>
      </c>
      <c r="E179" t="s">
        <v>18</v>
      </c>
      <c r="F179">
        <v>3</v>
      </c>
      <c r="G179">
        <v>195.62</v>
      </c>
      <c r="H179">
        <v>0</v>
      </c>
      <c r="I179">
        <v>-0.4</v>
      </c>
      <c r="J179">
        <v>0.2</v>
      </c>
      <c r="K179">
        <v>0.2</v>
      </c>
      <c r="L179">
        <v>-0.374</v>
      </c>
      <c r="M179">
        <v>-2</v>
      </c>
      <c r="N179">
        <v>0</v>
      </c>
      <c r="O179">
        <f>_xlfn.XLOOKUP(C179,Squad_Team_Summary!$A:$A,Squad_Team_Summary!$D:$D)-_xlfn.XLOOKUP(D179,Squad_Team_Summary!$A:$A,Squad_Team_Summary!$D:$D)</f>
        <v>-9.0383999999999993</v>
      </c>
      <c r="P179">
        <f>_xlfn.XLOOKUP(C179,Squad_Team_Summary!$A:$A,Squad_Team_Summary!$E:$E)-_xlfn.XLOOKUP(D179,Squad_Team_Summary!$A:$A,Squad_Team_Summary!$E:$E)</f>
        <v>-1.2307999999999995</v>
      </c>
      <c r="Q179">
        <f>_xlfn.XLOOKUP(C179,Squad_Team_Summary!$A:$A,Squad_Team_Summary!$F:$F)-_xlfn.XLOOKUP(D179,Squad_Team_Summary!$A:$A,Squad_Team_Summary!$F:$F)</f>
        <v>7.6899999999994861E-2</v>
      </c>
      <c r="R179">
        <f>_xlfn.XLOOKUP(C179,Squad_Team_Summary!$A:$A,Squad_Team_Summary!$H:$H)-_xlfn.XLOOKUP(D179,Squad_Team_Summary!$A:$A,Squad_Team_Summary!$H:$H)</f>
        <v>0</v>
      </c>
    </row>
    <row r="180" spans="1:18" x14ac:dyDescent="0.3">
      <c r="A180">
        <v>400021533</v>
      </c>
      <c r="B180" t="s">
        <v>87</v>
      </c>
      <c r="C180" t="s">
        <v>26</v>
      </c>
      <c r="D180" t="s">
        <v>54</v>
      </c>
      <c r="E180" t="s">
        <v>17</v>
      </c>
      <c r="F180">
        <v>0</v>
      </c>
      <c r="G180">
        <v>-365.35</v>
      </c>
      <c r="H180">
        <v>0</v>
      </c>
      <c r="I180">
        <v>-2</v>
      </c>
      <c r="J180">
        <v>0.6</v>
      </c>
      <c r="K180">
        <v>-1.4</v>
      </c>
      <c r="L180">
        <v>2.0019999999999998</v>
      </c>
      <c r="M180">
        <v>1</v>
      </c>
      <c r="N180">
        <v>0</v>
      </c>
      <c r="O180">
        <f>_xlfn.XLOOKUP(C180,Squad_Team_Summary!$A:$A,Squad_Team_Summary!$D:$D)-_xlfn.XLOOKUP(D180,Squad_Team_Summary!$A:$A,Squad_Team_Summary!$D:$D)</f>
        <v>-5.9616000000000007</v>
      </c>
      <c r="P180">
        <f>_xlfn.XLOOKUP(C180,Squad_Team_Summary!$A:$A,Squad_Team_Summary!$E:$E)-_xlfn.XLOOKUP(D180,Squad_Team_Summary!$A:$A,Squad_Team_Summary!$E:$E)</f>
        <v>-2.4616000000000002</v>
      </c>
      <c r="Q180">
        <f>_xlfn.XLOOKUP(C180,Squad_Team_Summary!$A:$A,Squad_Team_Summary!$F:$F)-_xlfn.XLOOKUP(D180,Squad_Team_Summary!$A:$A,Squad_Team_Summary!$F:$F)</f>
        <v>-3.3077000000000112</v>
      </c>
      <c r="R180">
        <f>_xlfn.XLOOKUP(C180,Squad_Team_Summary!$A:$A,Squad_Team_Summary!$H:$H)-_xlfn.XLOOKUP(D180,Squad_Team_Summary!$A:$A,Squad_Team_Summary!$H:$H)</f>
        <v>0.19230000000000003</v>
      </c>
    </row>
    <row r="181" spans="1:18" x14ac:dyDescent="0.3">
      <c r="A181">
        <v>400021533</v>
      </c>
      <c r="B181" t="s">
        <v>87</v>
      </c>
      <c r="C181" t="s">
        <v>54</v>
      </c>
      <c r="D181" t="s">
        <v>26</v>
      </c>
      <c r="E181" t="s">
        <v>18</v>
      </c>
      <c r="F181">
        <v>1</v>
      </c>
      <c r="G181">
        <v>365.35</v>
      </c>
      <c r="H181">
        <v>0</v>
      </c>
      <c r="I181">
        <v>2</v>
      </c>
      <c r="J181">
        <v>-0.6</v>
      </c>
      <c r="K181">
        <v>1.4</v>
      </c>
      <c r="L181">
        <v>-2.0019999999999998</v>
      </c>
      <c r="M181">
        <v>-1</v>
      </c>
      <c r="N181">
        <v>0</v>
      </c>
      <c r="O181">
        <f>_xlfn.XLOOKUP(C181,Squad_Team_Summary!$A:$A,Squad_Team_Summary!$D:$D)-_xlfn.XLOOKUP(D181,Squad_Team_Summary!$A:$A,Squad_Team_Summary!$D:$D)</f>
        <v>5.9616000000000007</v>
      </c>
      <c r="P181">
        <f>_xlfn.XLOOKUP(C181,Squad_Team_Summary!$A:$A,Squad_Team_Summary!$E:$E)-_xlfn.XLOOKUP(D181,Squad_Team_Summary!$A:$A,Squad_Team_Summary!$E:$E)</f>
        <v>2.4616000000000002</v>
      </c>
      <c r="Q181">
        <f>_xlfn.XLOOKUP(C181,Squad_Team_Summary!$A:$A,Squad_Team_Summary!$F:$F)-_xlfn.XLOOKUP(D181,Squad_Team_Summary!$A:$A,Squad_Team_Summary!$F:$F)</f>
        <v>3.3077000000000112</v>
      </c>
      <c r="R181">
        <f>_xlfn.XLOOKUP(C181,Squad_Team_Summary!$A:$A,Squad_Team_Summary!$H:$H)-_xlfn.XLOOKUP(D181,Squad_Team_Summary!$A:$A,Squad_Team_Summary!$H:$H)</f>
        <v>-0.19230000000000003</v>
      </c>
    </row>
    <row r="182" spans="1:18" x14ac:dyDescent="0.3">
      <c r="A182">
        <v>400021532</v>
      </c>
      <c r="B182" t="s">
        <v>88</v>
      </c>
      <c r="C182" t="s">
        <v>29</v>
      </c>
      <c r="D182" t="s">
        <v>57</v>
      </c>
      <c r="E182" t="s">
        <v>17</v>
      </c>
      <c r="F182">
        <v>1</v>
      </c>
      <c r="G182">
        <v>208.42</v>
      </c>
      <c r="H182">
        <v>0</v>
      </c>
      <c r="I182">
        <v>-0.2</v>
      </c>
      <c r="J182">
        <v>-1.2</v>
      </c>
      <c r="K182">
        <v>0.2</v>
      </c>
      <c r="L182">
        <v>2.5590000000000002</v>
      </c>
      <c r="M182">
        <v>1</v>
      </c>
      <c r="N182">
        <v>0</v>
      </c>
      <c r="O182">
        <f>_xlfn.XLOOKUP(C182,Squad_Team_Summary!$A:$A,Squad_Team_Summary!$D:$D)-_xlfn.XLOOKUP(D182,Squad_Team_Summary!$A:$A,Squad_Team_Summary!$D:$D)</f>
        <v>3.8077000000000041</v>
      </c>
      <c r="P182">
        <f>_xlfn.XLOOKUP(C182,Squad_Team_Summary!$A:$A,Squad_Team_Summary!$E:$E)-_xlfn.XLOOKUP(D182,Squad_Team_Summary!$A:$A,Squad_Team_Summary!$E:$E)</f>
        <v>1.1154000000000002</v>
      </c>
      <c r="Q182">
        <f>_xlfn.XLOOKUP(C182,Squad_Team_Summary!$A:$A,Squad_Team_Summary!$F:$F)-_xlfn.XLOOKUP(D182,Squad_Team_Summary!$A:$A,Squad_Team_Summary!$F:$F)</f>
        <v>-4.0383999999999958</v>
      </c>
      <c r="R182">
        <f>_xlfn.XLOOKUP(C182,Squad_Team_Summary!$A:$A,Squad_Team_Summary!$H:$H)-_xlfn.XLOOKUP(D182,Squad_Team_Summary!$A:$A,Squad_Team_Summary!$H:$H)</f>
        <v>-0.11539999999999995</v>
      </c>
    </row>
    <row r="183" spans="1:18" x14ac:dyDescent="0.3">
      <c r="A183">
        <v>400021532</v>
      </c>
      <c r="B183" t="s">
        <v>88</v>
      </c>
      <c r="C183" t="s">
        <v>57</v>
      </c>
      <c r="D183" t="s">
        <v>29</v>
      </c>
      <c r="E183" t="s">
        <v>18</v>
      </c>
      <c r="F183">
        <v>2</v>
      </c>
      <c r="G183">
        <v>-208.42</v>
      </c>
      <c r="H183">
        <v>0</v>
      </c>
      <c r="I183">
        <v>0.2</v>
      </c>
      <c r="J183">
        <v>1.2</v>
      </c>
      <c r="K183">
        <v>-0.2</v>
      </c>
      <c r="L183">
        <v>-2.5590000000000002</v>
      </c>
      <c r="M183">
        <v>-1</v>
      </c>
      <c r="N183">
        <v>0</v>
      </c>
      <c r="O183">
        <f>_xlfn.XLOOKUP(C183,Squad_Team_Summary!$A:$A,Squad_Team_Summary!$D:$D)-_xlfn.XLOOKUP(D183,Squad_Team_Summary!$A:$A,Squad_Team_Summary!$D:$D)</f>
        <v>-3.8077000000000041</v>
      </c>
      <c r="P183">
        <f>_xlfn.XLOOKUP(C183,Squad_Team_Summary!$A:$A,Squad_Team_Summary!$E:$E)-_xlfn.XLOOKUP(D183,Squad_Team_Summary!$A:$A,Squad_Team_Summary!$E:$E)</f>
        <v>-1.1154000000000002</v>
      </c>
      <c r="Q183">
        <f>_xlfn.XLOOKUP(C183,Squad_Team_Summary!$A:$A,Squad_Team_Summary!$F:$F)-_xlfn.XLOOKUP(D183,Squad_Team_Summary!$A:$A,Squad_Team_Summary!$F:$F)</f>
        <v>4.0383999999999958</v>
      </c>
      <c r="R183">
        <f>_xlfn.XLOOKUP(C183,Squad_Team_Summary!$A:$A,Squad_Team_Summary!$H:$H)-_xlfn.XLOOKUP(D183,Squad_Team_Summary!$A:$A,Squad_Team_Summary!$H:$H)</f>
        <v>0.11539999999999995</v>
      </c>
    </row>
    <row r="184" spans="1:18" x14ac:dyDescent="0.3">
      <c r="A184">
        <v>400021531</v>
      </c>
      <c r="B184" t="s">
        <v>89</v>
      </c>
      <c r="C184" t="s">
        <v>15</v>
      </c>
      <c r="D184" t="s">
        <v>65</v>
      </c>
      <c r="E184" t="s">
        <v>17</v>
      </c>
      <c r="F184">
        <v>2</v>
      </c>
      <c r="G184">
        <v>-140.54</v>
      </c>
      <c r="H184">
        <v>1</v>
      </c>
      <c r="I184">
        <v>0</v>
      </c>
      <c r="J184">
        <v>-0.6</v>
      </c>
      <c r="K184">
        <v>0.4</v>
      </c>
      <c r="L184">
        <v>0.627</v>
      </c>
      <c r="M184">
        <v>0</v>
      </c>
      <c r="N184">
        <v>-1</v>
      </c>
      <c r="O184">
        <f>_xlfn.XLOOKUP(C184,Squad_Team_Summary!$A:$A,Squad_Team_Summary!$D:$D)-_xlfn.XLOOKUP(D184,Squad_Team_Summary!$A:$A,Squad_Team_Summary!$D:$D)</f>
        <v>12.961599999999997</v>
      </c>
      <c r="P184">
        <f>_xlfn.XLOOKUP(C184,Squad_Team_Summary!$A:$A,Squad_Team_Summary!$E:$E)-_xlfn.XLOOKUP(D184,Squad_Team_Summary!$A:$A,Squad_Team_Summary!$E:$E)</f>
        <v>-1.6154000000000002</v>
      </c>
      <c r="Q184">
        <f>_xlfn.XLOOKUP(C184,Squad_Team_Summary!$A:$A,Squad_Team_Summary!$F:$F)-_xlfn.XLOOKUP(D184,Squad_Team_Summary!$A:$A,Squad_Team_Summary!$F:$F)</f>
        <v>-5.115399999999994</v>
      </c>
      <c r="R184">
        <f>_xlfn.XLOOKUP(C184,Squad_Team_Summary!$A:$A,Squad_Team_Summary!$H:$H)-_xlfn.XLOOKUP(D184,Squad_Team_Summary!$A:$A,Squad_Team_Summary!$H:$H)</f>
        <v>0.34619999999999995</v>
      </c>
    </row>
    <row r="185" spans="1:18" x14ac:dyDescent="0.3">
      <c r="A185">
        <v>400021531</v>
      </c>
      <c r="B185" t="s">
        <v>89</v>
      </c>
      <c r="C185" t="s">
        <v>65</v>
      </c>
      <c r="D185" t="s">
        <v>15</v>
      </c>
      <c r="E185" t="s">
        <v>18</v>
      </c>
      <c r="F185">
        <v>3</v>
      </c>
      <c r="G185">
        <v>140.54</v>
      </c>
      <c r="H185">
        <v>-1</v>
      </c>
      <c r="I185">
        <v>0</v>
      </c>
      <c r="J185">
        <v>0.6</v>
      </c>
      <c r="K185">
        <v>-0.4</v>
      </c>
      <c r="L185">
        <v>-0.627</v>
      </c>
      <c r="M185">
        <v>0</v>
      </c>
      <c r="N185">
        <v>1</v>
      </c>
      <c r="O185">
        <f>_xlfn.XLOOKUP(C185,Squad_Team_Summary!$A:$A,Squad_Team_Summary!$D:$D)-_xlfn.XLOOKUP(D185,Squad_Team_Summary!$A:$A,Squad_Team_Summary!$D:$D)</f>
        <v>-12.961599999999997</v>
      </c>
      <c r="P185">
        <f>_xlfn.XLOOKUP(C185,Squad_Team_Summary!$A:$A,Squad_Team_Summary!$E:$E)-_xlfn.XLOOKUP(D185,Squad_Team_Summary!$A:$A,Squad_Team_Summary!$E:$E)</f>
        <v>1.6154000000000002</v>
      </c>
      <c r="Q185">
        <f>_xlfn.XLOOKUP(C185,Squad_Team_Summary!$A:$A,Squad_Team_Summary!$F:$F)-_xlfn.XLOOKUP(D185,Squad_Team_Summary!$A:$A,Squad_Team_Summary!$F:$F)</f>
        <v>5.115399999999994</v>
      </c>
      <c r="R185">
        <f>_xlfn.XLOOKUP(C185,Squad_Team_Summary!$A:$A,Squad_Team_Summary!$H:$H)-_xlfn.XLOOKUP(D185,Squad_Team_Summary!$A:$A,Squad_Team_Summary!$H:$H)</f>
        <v>-0.34619999999999995</v>
      </c>
    </row>
    <row r="186" spans="1:18" x14ac:dyDescent="0.3">
      <c r="A186">
        <v>400021529</v>
      </c>
      <c r="B186" t="s">
        <v>89</v>
      </c>
      <c r="C186" t="s">
        <v>63</v>
      </c>
      <c r="D186" t="s">
        <v>45</v>
      </c>
      <c r="E186" t="s">
        <v>17</v>
      </c>
      <c r="F186">
        <v>0</v>
      </c>
      <c r="G186">
        <v>-106.86</v>
      </c>
      <c r="H186">
        <v>0</v>
      </c>
      <c r="I186">
        <v>0</v>
      </c>
      <c r="J186">
        <v>0.4</v>
      </c>
      <c r="K186">
        <v>-0.4</v>
      </c>
      <c r="L186">
        <v>1.288</v>
      </c>
      <c r="M186">
        <v>0</v>
      </c>
      <c r="N186">
        <v>0</v>
      </c>
      <c r="O186">
        <f>_xlfn.XLOOKUP(C186,Squad_Team_Summary!$A:$A,Squad_Team_Summary!$D:$D)-_xlfn.XLOOKUP(D186,Squad_Team_Summary!$A:$A,Squad_Team_Summary!$D:$D)</f>
        <v>14.269200000000005</v>
      </c>
      <c r="P186">
        <f>_xlfn.XLOOKUP(C186,Squad_Team_Summary!$A:$A,Squad_Team_Summary!$E:$E)-_xlfn.XLOOKUP(D186,Squad_Team_Summary!$A:$A,Squad_Team_Summary!$E:$E)</f>
        <v>5.2308000000000003</v>
      </c>
      <c r="Q186">
        <f>_xlfn.XLOOKUP(C186,Squad_Team_Summary!$A:$A,Squad_Team_Summary!$F:$F)-_xlfn.XLOOKUP(D186,Squad_Team_Summary!$A:$A,Squad_Team_Summary!$F:$F)</f>
        <v>-0.2307999999999879</v>
      </c>
      <c r="R186">
        <f>_xlfn.XLOOKUP(C186,Squad_Team_Summary!$A:$A,Squad_Team_Summary!$H:$H)-_xlfn.XLOOKUP(D186,Squad_Team_Summary!$A:$A,Squad_Team_Summary!$H:$H)</f>
        <v>0.46149999999999997</v>
      </c>
    </row>
    <row r="187" spans="1:18" x14ac:dyDescent="0.3">
      <c r="A187">
        <v>400021529</v>
      </c>
      <c r="B187" t="s">
        <v>89</v>
      </c>
      <c r="C187" t="s">
        <v>45</v>
      </c>
      <c r="D187" t="s">
        <v>63</v>
      </c>
      <c r="E187" t="s">
        <v>18</v>
      </c>
      <c r="F187">
        <v>1</v>
      </c>
      <c r="G187">
        <v>106.86</v>
      </c>
      <c r="H187">
        <v>0</v>
      </c>
      <c r="I187">
        <v>0</v>
      </c>
      <c r="J187">
        <v>-0.4</v>
      </c>
      <c r="K187">
        <v>0.4</v>
      </c>
      <c r="L187">
        <v>-1.288</v>
      </c>
      <c r="M187">
        <v>0</v>
      </c>
      <c r="N187">
        <v>0</v>
      </c>
      <c r="O187">
        <f>_xlfn.XLOOKUP(C187,Squad_Team_Summary!$A:$A,Squad_Team_Summary!$D:$D)-_xlfn.XLOOKUP(D187,Squad_Team_Summary!$A:$A,Squad_Team_Summary!$D:$D)</f>
        <v>-14.269200000000005</v>
      </c>
      <c r="P187">
        <f>_xlfn.XLOOKUP(C187,Squad_Team_Summary!$A:$A,Squad_Team_Summary!$E:$E)-_xlfn.XLOOKUP(D187,Squad_Team_Summary!$A:$A,Squad_Team_Summary!$E:$E)</f>
        <v>-5.2308000000000003</v>
      </c>
      <c r="Q187">
        <f>_xlfn.XLOOKUP(C187,Squad_Team_Summary!$A:$A,Squad_Team_Summary!$F:$F)-_xlfn.XLOOKUP(D187,Squad_Team_Summary!$A:$A,Squad_Team_Summary!$F:$F)</f>
        <v>0.2307999999999879</v>
      </c>
      <c r="R187">
        <f>_xlfn.XLOOKUP(C187,Squad_Team_Summary!$A:$A,Squad_Team_Summary!$H:$H)-_xlfn.XLOOKUP(D187,Squad_Team_Summary!$A:$A,Squad_Team_Summary!$H:$H)</f>
        <v>-0.46149999999999997</v>
      </c>
    </row>
    <row r="188" spans="1:18" x14ac:dyDescent="0.3">
      <c r="A188">
        <v>400021534</v>
      </c>
      <c r="B188" t="s">
        <v>90</v>
      </c>
      <c r="C188" t="s">
        <v>25</v>
      </c>
      <c r="D188" t="s">
        <v>47</v>
      </c>
      <c r="E188" t="s">
        <v>17</v>
      </c>
      <c r="F188">
        <v>1</v>
      </c>
      <c r="G188">
        <v>-71.010000000000005</v>
      </c>
      <c r="H188">
        <v>1</v>
      </c>
      <c r="I188">
        <v>0.2</v>
      </c>
      <c r="J188">
        <v>0</v>
      </c>
      <c r="K188">
        <v>0.2</v>
      </c>
      <c r="L188">
        <v>-0.71</v>
      </c>
      <c r="M188">
        <v>-1</v>
      </c>
      <c r="N188">
        <v>-1</v>
      </c>
      <c r="O188">
        <f>_xlfn.XLOOKUP(C188,Squad_Team_Summary!$A:$A,Squad_Team_Summary!$D:$D)-_xlfn.XLOOKUP(D188,Squad_Team_Summary!$A:$A,Squad_Team_Summary!$D:$D)</f>
        <v>-5.5</v>
      </c>
      <c r="P188">
        <f>_xlfn.XLOOKUP(C188,Squad_Team_Summary!$A:$A,Squad_Team_Summary!$E:$E)-_xlfn.XLOOKUP(D188,Squad_Team_Summary!$A:$A,Squad_Team_Summary!$E:$E)</f>
        <v>-3.577</v>
      </c>
      <c r="Q188">
        <f>_xlfn.XLOOKUP(C188,Squad_Team_Summary!$A:$A,Squad_Team_Summary!$F:$F)-_xlfn.XLOOKUP(D188,Squad_Team_Summary!$A:$A,Squad_Team_Summary!$F:$F)</f>
        <v>-2.4231000000000051</v>
      </c>
      <c r="R188">
        <f>_xlfn.XLOOKUP(C188,Squad_Team_Summary!$A:$A,Squad_Team_Summary!$H:$H)-_xlfn.XLOOKUP(D188,Squad_Team_Summary!$A:$A,Squad_Team_Summary!$H:$H)</f>
        <v>-0.15380000000000005</v>
      </c>
    </row>
    <row r="189" spans="1:18" x14ac:dyDescent="0.3">
      <c r="A189">
        <v>400021534</v>
      </c>
      <c r="B189" t="s">
        <v>90</v>
      </c>
      <c r="C189" t="s">
        <v>47</v>
      </c>
      <c r="D189" t="s">
        <v>25</v>
      </c>
      <c r="E189" t="s">
        <v>18</v>
      </c>
      <c r="F189">
        <v>4</v>
      </c>
      <c r="G189">
        <v>71.010000000000005</v>
      </c>
      <c r="H189">
        <v>-1</v>
      </c>
      <c r="I189">
        <v>-0.2</v>
      </c>
      <c r="J189">
        <v>0</v>
      </c>
      <c r="K189">
        <v>-0.2</v>
      </c>
      <c r="L189">
        <v>0.71</v>
      </c>
      <c r="M189">
        <v>1</v>
      </c>
      <c r="N189">
        <v>1</v>
      </c>
      <c r="O189">
        <f>_xlfn.XLOOKUP(C189,Squad_Team_Summary!$A:$A,Squad_Team_Summary!$D:$D)-_xlfn.XLOOKUP(D189,Squad_Team_Summary!$A:$A,Squad_Team_Summary!$D:$D)</f>
        <v>5.5</v>
      </c>
      <c r="P189">
        <f>_xlfn.XLOOKUP(C189,Squad_Team_Summary!$A:$A,Squad_Team_Summary!$E:$E)-_xlfn.XLOOKUP(D189,Squad_Team_Summary!$A:$A,Squad_Team_Summary!$E:$E)</f>
        <v>3.577</v>
      </c>
      <c r="Q189">
        <f>_xlfn.XLOOKUP(C189,Squad_Team_Summary!$A:$A,Squad_Team_Summary!$F:$F)-_xlfn.XLOOKUP(D189,Squad_Team_Summary!$A:$A,Squad_Team_Summary!$F:$F)</f>
        <v>2.4231000000000051</v>
      </c>
      <c r="R189">
        <f>_xlfn.XLOOKUP(C189,Squad_Team_Summary!$A:$A,Squad_Team_Summary!$H:$H)-_xlfn.XLOOKUP(D189,Squad_Team_Summary!$A:$A,Squad_Team_Summary!$H:$H)</f>
        <v>0.15380000000000005</v>
      </c>
    </row>
    <row r="190" spans="1:18" x14ac:dyDescent="0.3">
      <c r="A190">
        <v>400021528</v>
      </c>
      <c r="B190" t="s">
        <v>90</v>
      </c>
      <c r="C190" t="s">
        <v>59</v>
      </c>
      <c r="D190" t="s">
        <v>48</v>
      </c>
      <c r="E190" t="s">
        <v>17</v>
      </c>
      <c r="F190">
        <v>3</v>
      </c>
      <c r="G190">
        <v>314.89999999999998</v>
      </c>
      <c r="H190">
        <v>0</v>
      </c>
      <c r="I190">
        <v>1</v>
      </c>
      <c r="J190">
        <v>-0.2</v>
      </c>
      <c r="K190">
        <v>1.2</v>
      </c>
      <c r="L190">
        <v>5.8999999999999997E-2</v>
      </c>
      <c r="M190">
        <v>0</v>
      </c>
      <c r="N190">
        <v>1</v>
      </c>
      <c r="O190">
        <f>_xlfn.XLOOKUP(C190,Squad_Team_Summary!$A:$A,Squad_Team_Summary!$D:$D)-_xlfn.XLOOKUP(D190,Squad_Team_Summary!$A:$A,Squad_Team_Summary!$D:$D)</f>
        <v>18.076900000000002</v>
      </c>
      <c r="P190">
        <f>_xlfn.XLOOKUP(C190,Squad_Team_Summary!$A:$A,Squad_Team_Summary!$E:$E)-_xlfn.XLOOKUP(D190,Squad_Team_Summary!$A:$A,Squad_Team_Summary!$E:$E)</f>
        <v>4.0383999999999993</v>
      </c>
      <c r="Q190">
        <f>_xlfn.XLOOKUP(C190,Squad_Team_Summary!$A:$A,Squad_Team_Summary!$F:$F)-_xlfn.XLOOKUP(D190,Squad_Team_Summary!$A:$A,Squad_Team_Summary!$F:$F)</f>
        <v>-1.615399999999994</v>
      </c>
      <c r="R190">
        <f>_xlfn.XLOOKUP(C190,Squad_Team_Summary!$A:$A,Squad_Team_Summary!$H:$H)-_xlfn.XLOOKUP(D190,Squad_Team_Summary!$A:$A,Squad_Team_Summary!$H:$H)</f>
        <v>0.57689999999999997</v>
      </c>
    </row>
    <row r="191" spans="1:18" x14ac:dyDescent="0.3">
      <c r="A191">
        <v>400021528</v>
      </c>
      <c r="B191" t="s">
        <v>90</v>
      </c>
      <c r="C191" t="s">
        <v>48</v>
      </c>
      <c r="D191" t="s">
        <v>59</v>
      </c>
      <c r="E191" t="s">
        <v>18</v>
      </c>
      <c r="F191">
        <v>2</v>
      </c>
      <c r="G191">
        <v>-314.89999999999998</v>
      </c>
      <c r="H191">
        <v>0</v>
      </c>
      <c r="I191">
        <v>-1</v>
      </c>
      <c r="J191">
        <v>0.2</v>
      </c>
      <c r="K191">
        <v>-1.2</v>
      </c>
      <c r="L191">
        <v>-5.8999999999999997E-2</v>
      </c>
      <c r="M191">
        <v>0</v>
      </c>
      <c r="N191">
        <v>-1</v>
      </c>
      <c r="O191">
        <f>_xlfn.XLOOKUP(C191,Squad_Team_Summary!$A:$A,Squad_Team_Summary!$D:$D)-_xlfn.XLOOKUP(D191,Squad_Team_Summary!$A:$A,Squad_Team_Summary!$D:$D)</f>
        <v>-18.076900000000002</v>
      </c>
      <c r="P191">
        <f>_xlfn.XLOOKUP(C191,Squad_Team_Summary!$A:$A,Squad_Team_Summary!$E:$E)-_xlfn.XLOOKUP(D191,Squad_Team_Summary!$A:$A,Squad_Team_Summary!$E:$E)</f>
        <v>-4.0383999999999993</v>
      </c>
      <c r="Q191">
        <f>_xlfn.XLOOKUP(C191,Squad_Team_Summary!$A:$A,Squad_Team_Summary!$F:$F)-_xlfn.XLOOKUP(D191,Squad_Team_Summary!$A:$A,Squad_Team_Summary!$F:$F)</f>
        <v>1.615399999999994</v>
      </c>
      <c r="R191">
        <f>_xlfn.XLOOKUP(C191,Squad_Team_Summary!$A:$A,Squad_Team_Summary!$H:$H)-_xlfn.XLOOKUP(D191,Squad_Team_Summary!$A:$A,Squad_Team_Summary!$H:$H)</f>
        <v>-0.57689999999999997</v>
      </c>
    </row>
    <row r="192" spans="1:18" x14ac:dyDescent="0.3">
      <c r="A192">
        <v>400021535</v>
      </c>
      <c r="B192" t="s">
        <v>90</v>
      </c>
      <c r="C192" t="s">
        <v>28</v>
      </c>
      <c r="D192" t="s">
        <v>71</v>
      </c>
      <c r="E192" t="s">
        <v>17</v>
      </c>
      <c r="F192">
        <v>0</v>
      </c>
      <c r="G192">
        <v>-48.29</v>
      </c>
      <c r="H192">
        <v>0</v>
      </c>
      <c r="I192">
        <v>0.8</v>
      </c>
      <c r="J192">
        <v>0.4</v>
      </c>
      <c r="K192">
        <v>0</v>
      </c>
      <c r="L192">
        <v>-1.782</v>
      </c>
      <c r="M192">
        <v>1</v>
      </c>
      <c r="N192">
        <v>0</v>
      </c>
      <c r="O192">
        <f>_xlfn.XLOOKUP(C192,Squad_Team_Summary!$A:$A,Squad_Team_Summary!$D:$D)-_xlfn.XLOOKUP(D192,Squad_Team_Summary!$A:$A,Squad_Team_Summary!$D:$D)</f>
        <v>4.230799999999995</v>
      </c>
      <c r="P192">
        <f>_xlfn.XLOOKUP(C192,Squad_Team_Summary!$A:$A,Squad_Team_Summary!$E:$E)-_xlfn.XLOOKUP(D192,Squad_Team_Summary!$A:$A,Squad_Team_Summary!$E:$E)</f>
        <v>0.80760000000000076</v>
      </c>
      <c r="Q192">
        <f>_xlfn.XLOOKUP(C192,Squad_Team_Summary!$A:$A,Squad_Team_Summary!$F:$F)-_xlfn.XLOOKUP(D192,Squad_Team_Summary!$A:$A,Squad_Team_Summary!$F:$F)</f>
        <v>5.2307999999999879</v>
      </c>
      <c r="R192">
        <f>_xlfn.XLOOKUP(C192,Squad_Team_Summary!$A:$A,Squad_Team_Summary!$H:$H)-_xlfn.XLOOKUP(D192,Squad_Team_Summary!$A:$A,Squad_Team_Summary!$H:$H)</f>
        <v>-3.839999999999999E-2</v>
      </c>
    </row>
    <row r="193" spans="1:18" x14ac:dyDescent="0.3">
      <c r="A193">
        <v>400021535</v>
      </c>
      <c r="B193" t="s">
        <v>90</v>
      </c>
      <c r="C193" t="s">
        <v>71</v>
      </c>
      <c r="D193" t="s">
        <v>28</v>
      </c>
      <c r="E193" t="s">
        <v>18</v>
      </c>
      <c r="F193">
        <v>0</v>
      </c>
      <c r="G193">
        <v>48.29</v>
      </c>
      <c r="H193">
        <v>0</v>
      </c>
      <c r="I193">
        <v>-0.8</v>
      </c>
      <c r="J193">
        <v>-0.4</v>
      </c>
      <c r="K193">
        <v>0</v>
      </c>
      <c r="L193">
        <v>1.782</v>
      </c>
      <c r="M193">
        <v>-1</v>
      </c>
      <c r="N193">
        <v>0</v>
      </c>
      <c r="O193">
        <f>_xlfn.XLOOKUP(C193,Squad_Team_Summary!$A:$A,Squad_Team_Summary!$D:$D)-_xlfn.XLOOKUP(D193,Squad_Team_Summary!$A:$A,Squad_Team_Summary!$D:$D)</f>
        <v>-4.230799999999995</v>
      </c>
      <c r="P193">
        <f>_xlfn.XLOOKUP(C193,Squad_Team_Summary!$A:$A,Squad_Team_Summary!$E:$E)-_xlfn.XLOOKUP(D193,Squad_Team_Summary!$A:$A,Squad_Team_Summary!$E:$E)</f>
        <v>-0.80760000000000076</v>
      </c>
      <c r="Q193">
        <f>_xlfn.XLOOKUP(C193,Squad_Team_Summary!$A:$A,Squad_Team_Summary!$F:$F)-_xlfn.XLOOKUP(D193,Squad_Team_Summary!$A:$A,Squad_Team_Summary!$F:$F)</f>
        <v>-5.2307999999999879</v>
      </c>
      <c r="R193">
        <f>_xlfn.XLOOKUP(C193,Squad_Team_Summary!$A:$A,Squad_Team_Summary!$H:$H)-_xlfn.XLOOKUP(D193,Squad_Team_Summary!$A:$A,Squad_Team_Summary!$H:$H)</f>
        <v>3.839999999999999E-2</v>
      </c>
    </row>
    <row r="194" spans="1:18" x14ac:dyDescent="0.3">
      <c r="A194">
        <v>400021536</v>
      </c>
      <c r="B194" t="s">
        <v>91</v>
      </c>
      <c r="C194" t="s">
        <v>54</v>
      </c>
      <c r="D194" t="s">
        <v>30</v>
      </c>
      <c r="E194" t="s">
        <v>17</v>
      </c>
      <c r="F194">
        <v>2</v>
      </c>
      <c r="G194">
        <v>115.6</v>
      </c>
      <c r="H194">
        <v>0</v>
      </c>
      <c r="I194">
        <v>0.66669999999999996</v>
      </c>
      <c r="J194">
        <v>-0.33329999999999999</v>
      </c>
      <c r="K194">
        <v>0.66669999999999996</v>
      </c>
      <c r="L194">
        <v>0.40200000000000002</v>
      </c>
      <c r="M194">
        <v>0</v>
      </c>
      <c r="N194">
        <v>1</v>
      </c>
      <c r="O194">
        <f>_xlfn.XLOOKUP(C194,Squad_Team_Summary!$A:$A,Squad_Team_Summary!$D:$D)-_xlfn.XLOOKUP(D194,Squad_Team_Summary!$A:$A,Squad_Team_Summary!$D:$D)</f>
        <v>4.6922999999999995</v>
      </c>
      <c r="P194">
        <f>_xlfn.XLOOKUP(C194,Squad_Team_Summary!$A:$A,Squad_Team_Summary!$E:$E)-_xlfn.XLOOKUP(D194,Squad_Team_Summary!$A:$A,Squad_Team_Summary!$E:$E)</f>
        <v>0.42309999999999981</v>
      </c>
      <c r="Q194">
        <f>_xlfn.XLOOKUP(C194,Squad_Team_Summary!$A:$A,Squad_Team_Summary!$F:$F)-_xlfn.XLOOKUP(D194,Squad_Team_Summary!$A:$A,Squad_Team_Summary!$F:$F)</f>
        <v>2.5384999999999991</v>
      </c>
      <c r="R194">
        <f>_xlfn.XLOOKUP(C194,Squad_Team_Summary!$A:$A,Squad_Team_Summary!$H:$H)-_xlfn.XLOOKUP(D194,Squad_Team_Summary!$A:$A,Squad_Team_Summary!$H:$H)</f>
        <v>-0.23080000000000001</v>
      </c>
    </row>
    <row r="195" spans="1:18" x14ac:dyDescent="0.3">
      <c r="A195">
        <v>400021536</v>
      </c>
      <c r="B195" t="s">
        <v>91</v>
      </c>
      <c r="C195" t="s">
        <v>30</v>
      </c>
      <c r="D195" t="s">
        <v>54</v>
      </c>
      <c r="E195" t="s">
        <v>18</v>
      </c>
      <c r="F195">
        <v>0</v>
      </c>
      <c r="G195">
        <v>-115.6</v>
      </c>
      <c r="H195">
        <v>0</v>
      </c>
      <c r="I195">
        <v>-0.66669999999999996</v>
      </c>
      <c r="J195">
        <v>0.33329999999999999</v>
      </c>
      <c r="K195">
        <v>-0.66669999999999996</v>
      </c>
      <c r="L195">
        <v>-0.40200000000000002</v>
      </c>
      <c r="M195">
        <v>0</v>
      </c>
      <c r="N195">
        <v>-1</v>
      </c>
      <c r="O195">
        <f>_xlfn.XLOOKUP(C195,Squad_Team_Summary!$A:$A,Squad_Team_Summary!$D:$D)-_xlfn.XLOOKUP(D195,Squad_Team_Summary!$A:$A,Squad_Team_Summary!$D:$D)</f>
        <v>-4.6922999999999995</v>
      </c>
      <c r="P195">
        <f>_xlfn.XLOOKUP(C195,Squad_Team_Summary!$A:$A,Squad_Team_Summary!$E:$E)-_xlfn.XLOOKUP(D195,Squad_Team_Summary!$A:$A,Squad_Team_Summary!$E:$E)</f>
        <v>-0.42309999999999981</v>
      </c>
      <c r="Q195">
        <f>_xlfn.XLOOKUP(C195,Squad_Team_Summary!$A:$A,Squad_Team_Summary!$F:$F)-_xlfn.XLOOKUP(D195,Squad_Team_Summary!$A:$A,Squad_Team_Summary!$F:$F)</f>
        <v>-2.5384999999999991</v>
      </c>
      <c r="R195">
        <f>_xlfn.XLOOKUP(C195,Squad_Team_Summary!$A:$A,Squad_Team_Summary!$H:$H)-_xlfn.XLOOKUP(D195,Squad_Team_Summary!$A:$A,Squad_Team_Summary!$H:$H)</f>
        <v>0.23080000000000001</v>
      </c>
    </row>
    <row r="196" spans="1:18" x14ac:dyDescent="0.3">
      <c r="A196">
        <v>400021538</v>
      </c>
      <c r="B196" t="s">
        <v>92</v>
      </c>
      <c r="C196" t="s">
        <v>45</v>
      </c>
      <c r="D196" t="s">
        <v>47</v>
      </c>
      <c r="E196" t="s">
        <v>17</v>
      </c>
      <c r="F196">
        <v>2</v>
      </c>
      <c r="G196">
        <v>132.47</v>
      </c>
      <c r="H196">
        <v>0</v>
      </c>
      <c r="I196">
        <v>-0.66669999999999996</v>
      </c>
      <c r="J196">
        <v>-0.83330000000000004</v>
      </c>
      <c r="K196">
        <v>0.33329999999999999</v>
      </c>
      <c r="L196">
        <v>-0.86699999999999999</v>
      </c>
      <c r="M196">
        <v>1</v>
      </c>
      <c r="N196">
        <v>0</v>
      </c>
      <c r="O196">
        <f>_xlfn.XLOOKUP(C196,Squad_Team_Summary!$A:$A,Squad_Team_Summary!$D:$D)-_xlfn.XLOOKUP(D196,Squad_Team_Summary!$A:$A,Squad_Team_Summary!$D:$D)</f>
        <v>-12.038400000000003</v>
      </c>
      <c r="P196">
        <f>_xlfn.XLOOKUP(C196,Squad_Team_Summary!$A:$A,Squad_Team_Summary!$E:$E)-_xlfn.XLOOKUP(D196,Squad_Team_Summary!$A:$A,Squad_Team_Summary!$E:$E)</f>
        <v>-3.7308000000000003</v>
      </c>
      <c r="Q196">
        <f>_xlfn.XLOOKUP(C196,Squad_Team_Summary!$A:$A,Squad_Team_Summary!$F:$F)-_xlfn.XLOOKUP(D196,Squad_Team_Summary!$A:$A,Squad_Team_Summary!$F:$F)</f>
        <v>-4.0769000000000233</v>
      </c>
      <c r="R196">
        <f>_xlfn.XLOOKUP(C196,Squad_Team_Summary!$A:$A,Squad_Team_Summary!$H:$H)-_xlfn.XLOOKUP(D196,Squad_Team_Summary!$A:$A,Squad_Team_Summary!$H:$H)</f>
        <v>-0.53839999999999999</v>
      </c>
    </row>
    <row r="197" spans="1:18" x14ac:dyDescent="0.3">
      <c r="A197">
        <v>400021538</v>
      </c>
      <c r="B197" t="s">
        <v>92</v>
      </c>
      <c r="C197" t="s">
        <v>47</v>
      </c>
      <c r="D197" t="s">
        <v>45</v>
      </c>
      <c r="E197" t="s">
        <v>18</v>
      </c>
      <c r="F197">
        <v>1</v>
      </c>
      <c r="G197">
        <v>-132.47</v>
      </c>
      <c r="H197">
        <v>0</v>
      </c>
      <c r="I197">
        <v>0.66669999999999996</v>
      </c>
      <c r="J197">
        <v>0.83330000000000004</v>
      </c>
      <c r="K197">
        <v>-0.33329999999999999</v>
      </c>
      <c r="L197">
        <v>0.86699999999999999</v>
      </c>
      <c r="M197">
        <v>-1</v>
      </c>
      <c r="N197">
        <v>0</v>
      </c>
      <c r="O197">
        <f>_xlfn.XLOOKUP(C197,Squad_Team_Summary!$A:$A,Squad_Team_Summary!$D:$D)-_xlfn.XLOOKUP(D197,Squad_Team_Summary!$A:$A,Squad_Team_Summary!$D:$D)</f>
        <v>12.038400000000003</v>
      </c>
      <c r="P197">
        <f>_xlfn.XLOOKUP(C197,Squad_Team_Summary!$A:$A,Squad_Team_Summary!$E:$E)-_xlfn.XLOOKUP(D197,Squad_Team_Summary!$A:$A,Squad_Team_Summary!$E:$E)</f>
        <v>3.7308000000000003</v>
      </c>
      <c r="Q197">
        <f>_xlfn.XLOOKUP(C197,Squad_Team_Summary!$A:$A,Squad_Team_Summary!$F:$F)-_xlfn.XLOOKUP(D197,Squad_Team_Summary!$A:$A,Squad_Team_Summary!$F:$F)</f>
        <v>4.0769000000000233</v>
      </c>
      <c r="R197">
        <f>_xlfn.XLOOKUP(C197,Squad_Team_Summary!$A:$A,Squad_Team_Summary!$H:$H)-_xlfn.XLOOKUP(D197,Squad_Team_Summary!$A:$A,Squad_Team_Summary!$H:$H)</f>
        <v>0.53839999999999999</v>
      </c>
    </row>
    <row r="198" spans="1:18" x14ac:dyDescent="0.3">
      <c r="A198">
        <v>400021539</v>
      </c>
      <c r="B198" t="s">
        <v>93</v>
      </c>
      <c r="C198" t="s">
        <v>57</v>
      </c>
      <c r="D198" t="s">
        <v>65</v>
      </c>
      <c r="E198" t="s">
        <v>17</v>
      </c>
      <c r="F198">
        <v>1</v>
      </c>
      <c r="G198">
        <v>-270.58</v>
      </c>
      <c r="H198">
        <v>0</v>
      </c>
      <c r="I198">
        <v>0.16669999999999999</v>
      </c>
      <c r="J198">
        <v>0.66669999999999996</v>
      </c>
      <c r="K198">
        <v>-0.16669999999999999</v>
      </c>
      <c r="L198">
        <v>-0.46899999999999997</v>
      </c>
      <c r="M198">
        <v>1</v>
      </c>
      <c r="N198">
        <v>0</v>
      </c>
      <c r="O198">
        <f>_xlfn.XLOOKUP(C198,Squad_Team_Summary!$A:$A,Squad_Team_Summary!$D:$D)-_xlfn.XLOOKUP(D198,Squad_Team_Summary!$A:$A,Squad_Team_Summary!$D:$D)</f>
        <v>-2.6538000000000039</v>
      </c>
      <c r="P198">
        <f>_xlfn.XLOOKUP(C198,Squad_Team_Summary!$A:$A,Squad_Team_Summary!$E:$E)-_xlfn.XLOOKUP(D198,Squad_Team_Summary!$A:$A,Squad_Team_Summary!$E:$E)</f>
        <v>-1.3845999999999998</v>
      </c>
      <c r="Q198">
        <f>_xlfn.XLOOKUP(C198,Squad_Team_Summary!$A:$A,Squad_Team_Summary!$F:$F)-_xlfn.XLOOKUP(D198,Squad_Team_Summary!$A:$A,Squad_Team_Summary!$F:$F)</f>
        <v>2.5383999999999958</v>
      </c>
      <c r="R198">
        <f>_xlfn.XLOOKUP(C198,Squad_Team_Summary!$A:$A,Squad_Team_Summary!$H:$H)-_xlfn.XLOOKUP(D198,Squad_Team_Summary!$A:$A,Squad_Team_Summary!$H:$H)</f>
        <v>0.65389999999999993</v>
      </c>
    </row>
    <row r="199" spans="1:18" x14ac:dyDescent="0.3">
      <c r="A199">
        <v>400021539</v>
      </c>
      <c r="B199" t="s">
        <v>93</v>
      </c>
      <c r="C199" t="s">
        <v>65</v>
      </c>
      <c r="D199" t="s">
        <v>57</v>
      </c>
      <c r="E199" t="s">
        <v>18</v>
      </c>
      <c r="F199">
        <v>2</v>
      </c>
      <c r="G199">
        <v>270.58</v>
      </c>
      <c r="H199">
        <v>0</v>
      </c>
      <c r="I199">
        <v>-0.16669999999999999</v>
      </c>
      <c r="J199">
        <v>-0.66669999999999996</v>
      </c>
      <c r="K199">
        <v>0.16669999999999999</v>
      </c>
      <c r="L199">
        <v>0.46899999999999997</v>
      </c>
      <c r="M199">
        <v>-1</v>
      </c>
      <c r="N199">
        <v>0</v>
      </c>
      <c r="O199">
        <f>_xlfn.XLOOKUP(C199,Squad_Team_Summary!$A:$A,Squad_Team_Summary!$D:$D)-_xlfn.XLOOKUP(D199,Squad_Team_Summary!$A:$A,Squad_Team_Summary!$D:$D)</f>
        <v>2.6538000000000039</v>
      </c>
      <c r="P199">
        <f>_xlfn.XLOOKUP(C199,Squad_Team_Summary!$A:$A,Squad_Team_Summary!$E:$E)-_xlfn.XLOOKUP(D199,Squad_Team_Summary!$A:$A,Squad_Team_Summary!$E:$E)</f>
        <v>1.3845999999999998</v>
      </c>
      <c r="Q199">
        <f>_xlfn.XLOOKUP(C199,Squad_Team_Summary!$A:$A,Squad_Team_Summary!$F:$F)-_xlfn.XLOOKUP(D199,Squad_Team_Summary!$A:$A,Squad_Team_Summary!$F:$F)</f>
        <v>-2.5383999999999958</v>
      </c>
      <c r="R199">
        <f>_xlfn.XLOOKUP(C199,Squad_Team_Summary!$A:$A,Squad_Team_Summary!$H:$H)-_xlfn.XLOOKUP(D199,Squad_Team_Summary!$A:$A,Squad_Team_Summary!$H:$H)</f>
        <v>-0.65389999999999993</v>
      </c>
    </row>
    <row r="200" spans="1:18" x14ac:dyDescent="0.3">
      <c r="A200">
        <v>400021537</v>
      </c>
      <c r="B200" t="s">
        <v>94</v>
      </c>
      <c r="C200" t="s">
        <v>59</v>
      </c>
      <c r="D200" t="s">
        <v>28</v>
      </c>
      <c r="E200" t="s">
        <v>17</v>
      </c>
      <c r="F200">
        <v>3</v>
      </c>
      <c r="G200">
        <v>227.21</v>
      </c>
      <c r="H200">
        <v>0</v>
      </c>
      <c r="I200">
        <v>0.83330000000000004</v>
      </c>
      <c r="J200">
        <v>0.33329999999999999</v>
      </c>
      <c r="K200">
        <v>0.66669999999999996</v>
      </c>
      <c r="L200">
        <v>0.81100000000000005</v>
      </c>
      <c r="M200">
        <v>0</v>
      </c>
      <c r="N200">
        <v>0</v>
      </c>
      <c r="O200">
        <f>_xlfn.XLOOKUP(C200,Squad_Team_Summary!$A:$A,Squad_Team_Summary!$D:$D)-_xlfn.XLOOKUP(D200,Squad_Team_Summary!$A:$A,Squad_Team_Summary!$D:$D)</f>
        <v>5.8077000000000041</v>
      </c>
      <c r="P200">
        <f>_xlfn.XLOOKUP(C200,Squad_Team_Summary!$A:$A,Squad_Team_Summary!$E:$E)-_xlfn.XLOOKUP(D200,Squad_Team_Summary!$A:$A,Squad_Team_Summary!$E:$E)</f>
        <v>4.1153999999999993</v>
      </c>
      <c r="Q200">
        <f>_xlfn.XLOOKUP(C200,Squad_Team_Summary!$A:$A,Squad_Team_Summary!$F:$F)-_xlfn.XLOOKUP(D200,Squad_Team_Summary!$A:$A,Squad_Team_Summary!$F:$F)</f>
        <v>-5.653899999999993</v>
      </c>
      <c r="R200">
        <f>_xlfn.XLOOKUP(C200,Squad_Team_Summary!$A:$A,Squad_Team_Summary!$H:$H)-_xlfn.XLOOKUP(D200,Squad_Team_Summary!$A:$A,Squad_Team_Summary!$H:$H)</f>
        <v>0</v>
      </c>
    </row>
    <row r="201" spans="1:18" x14ac:dyDescent="0.3">
      <c r="A201">
        <v>400021537</v>
      </c>
      <c r="B201" t="s">
        <v>94</v>
      </c>
      <c r="C201" t="s">
        <v>28</v>
      </c>
      <c r="D201" t="s">
        <v>59</v>
      </c>
      <c r="E201" t="s">
        <v>18</v>
      </c>
      <c r="F201">
        <v>1</v>
      </c>
      <c r="G201">
        <v>-227.21</v>
      </c>
      <c r="H201">
        <v>0</v>
      </c>
      <c r="I201">
        <v>-0.83330000000000004</v>
      </c>
      <c r="J201">
        <v>-0.33329999999999999</v>
      </c>
      <c r="K201">
        <v>-0.66669999999999996</v>
      </c>
      <c r="L201">
        <v>-0.81100000000000005</v>
      </c>
      <c r="M201">
        <v>0</v>
      </c>
      <c r="N201">
        <v>0</v>
      </c>
      <c r="O201">
        <f>_xlfn.XLOOKUP(C201,Squad_Team_Summary!$A:$A,Squad_Team_Summary!$D:$D)-_xlfn.XLOOKUP(D201,Squad_Team_Summary!$A:$A,Squad_Team_Summary!$D:$D)</f>
        <v>-5.8077000000000041</v>
      </c>
      <c r="P201">
        <f>_xlfn.XLOOKUP(C201,Squad_Team_Summary!$A:$A,Squad_Team_Summary!$E:$E)-_xlfn.XLOOKUP(D201,Squad_Team_Summary!$A:$A,Squad_Team_Summary!$E:$E)</f>
        <v>-4.1153999999999993</v>
      </c>
      <c r="Q201">
        <f>_xlfn.XLOOKUP(C201,Squad_Team_Summary!$A:$A,Squad_Team_Summary!$F:$F)-_xlfn.XLOOKUP(D201,Squad_Team_Summary!$A:$A,Squad_Team_Summary!$F:$F)</f>
        <v>5.653899999999993</v>
      </c>
      <c r="R201">
        <f>_xlfn.XLOOKUP(C201,Squad_Team_Summary!$A:$A,Squad_Team_Summary!$H:$H)-_xlfn.XLOOKUP(D201,Squad_Team_Summary!$A:$A,Squad_Team_Summary!$H:$H)</f>
        <v>0</v>
      </c>
    </row>
    <row r="202" spans="1:18" x14ac:dyDescent="0.3">
      <c r="A202">
        <v>400021541</v>
      </c>
      <c r="B202" t="s">
        <v>95</v>
      </c>
      <c r="C202" t="s">
        <v>54</v>
      </c>
      <c r="D202" t="s">
        <v>45</v>
      </c>
      <c r="E202" t="s">
        <v>17</v>
      </c>
      <c r="F202">
        <v>0</v>
      </c>
      <c r="G202">
        <v>-4.01</v>
      </c>
      <c r="H202">
        <v>0</v>
      </c>
      <c r="I202">
        <v>0.71430000000000005</v>
      </c>
      <c r="J202">
        <v>0.1429</v>
      </c>
      <c r="K202">
        <v>0.28570000000000001</v>
      </c>
      <c r="L202">
        <v>0.254</v>
      </c>
      <c r="M202">
        <v>1</v>
      </c>
      <c r="N202">
        <v>0</v>
      </c>
      <c r="O202">
        <f>_xlfn.XLOOKUP(C202,Squad_Team_Summary!$A:$A,Squad_Team_Summary!$D:$D)-_xlfn.XLOOKUP(D202,Squad_Team_Summary!$A:$A,Squad_Team_Summary!$D:$D)</f>
        <v>2.1154000000000011</v>
      </c>
      <c r="P202">
        <f>_xlfn.XLOOKUP(C202,Squad_Team_Summary!$A:$A,Squad_Team_Summary!$E:$E)-_xlfn.XLOOKUP(D202,Squad_Team_Summary!$A:$A,Squad_Team_Summary!$E:$E)</f>
        <v>-0.38459999999999983</v>
      </c>
      <c r="Q202">
        <f>_xlfn.XLOOKUP(C202,Squad_Team_Summary!$A:$A,Squad_Team_Summary!$F:$F)-_xlfn.XLOOKUP(D202,Squad_Team_Summary!$A:$A,Squad_Team_Summary!$F:$F)</f>
        <v>3.1923000000000172</v>
      </c>
      <c r="R202">
        <f>_xlfn.XLOOKUP(C202,Squad_Team_Summary!$A:$A,Squad_Team_Summary!$H:$H)-_xlfn.XLOOKUP(D202,Squad_Team_Summary!$A:$A,Squad_Team_Summary!$H:$H)</f>
        <v>0.34610000000000002</v>
      </c>
    </row>
    <row r="203" spans="1:18" x14ac:dyDescent="0.3">
      <c r="A203">
        <v>400021541</v>
      </c>
      <c r="B203" t="s">
        <v>95</v>
      </c>
      <c r="C203" t="s">
        <v>45</v>
      </c>
      <c r="D203" t="s">
        <v>54</v>
      </c>
      <c r="E203" t="s">
        <v>18</v>
      </c>
      <c r="F203">
        <v>2</v>
      </c>
      <c r="G203">
        <v>4.01</v>
      </c>
      <c r="H203">
        <v>0</v>
      </c>
      <c r="I203">
        <v>-0.71430000000000005</v>
      </c>
      <c r="J203">
        <v>-0.1429</v>
      </c>
      <c r="K203">
        <v>-0.28570000000000001</v>
      </c>
      <c r="L203">
        <v>-0.254</v>
      </c>
      <c r="M203">
        <v>-1</v>
      </c>
      <c r="N203">
        <v>0</v>
      </c>
      <c r="O203">
        <f>_xlfn.XLOOKUP(C203,Squad_Team_Summary!$A:$A,Squad_Team_Summary!$D:$D)-_xlfn.XLOOKUP(D203,Squad_Team_Summary!$A:$A,Squad_Team_Summary!$D:$D)</f>
        <v>-2.1154000000000011</v>
      </c>
      <c r="P203">
        <f>_xlfn.XLOOKUP(C203,Squad_Team_Summary!$A:$A,Squad_Team_Summary!$E:$E)-_xlfn.XLOOKUP(D203,Squad_Team_Summary!$A:$A,Squad_Team_Summary!$E:$E)</f>
        <v>0.38459999999999983</v>
      </c>
      <c r="Q203">
        <f>_xlfn.XLOOKUP(C203,Squad_Team_Summary!$A:$A,Squad_Team_Summary!$F:$F)-_xlfn.XLOOKUP(D203,Squad_Team_Summary!$A:$A,Squad_Team_Summary!$F:$F)</f>
        <v>-3.1923000000000172</v>
      </c>
      <c r="R203">
        <f>_xlfn.XLOOKUP(C203,Squad_Team_Summary!$A:$A,Squad_Team_Summary!$H:$H)-_xlfn.XLOOKUP(D203,Squad_Team_Summary!$A:$A,Squad_Team_Summary!$H:$H)</f>
        <v>-0.34610000000000002</v>
      </c>
    </row>
    <row r="204" spans="1:18" x14ac:dyDescent="0.3">
      <c r="A204">
        <v>400021540</v>
      </c>
      <c r="B204" t="s">
        <v>96</v>
      </c>
      <c r="C204" t="s">
        <v>65</v>
      </c>
      <c r="D204" t="s">
        <v>59</v>
      </c>
      <c r="E204" t="s">
        <v>17</v>
      </c>
      <c r="F204">
        <v>1</v>
      </c>
      <c r="G204">
        <v>-49.25</v>
      </c>
      <c r="H204">
        <v>0</v>
      </c>
      <c r="I204">
        <v>-0.57140000000000002</v>
      </c>
      <c r="J204">
        <v>0</v>
      </c>
      <c r="K204">
        <v>-0.28570000000000001</v>
      </c>
      <c r="L204">
        <v>-1.845</v>
      </c>
      <c r="M204">
        <v>1</v>
      </c>
      <c r="N204">
        <v>0</v>
      </c>
      <c r="O204">
        <f>_xlfn.XLOOKUP(C204,Squad_Team_Summary!$A:$A,Squad_Team_Summary!$D:$D)-_xlfn.XLOOKUP(D204,Squad_Team_Summary!$A:$A,Squad_Team_Summary!$D:$D)</f>
        <v>-16.038499999999999</v>
      </c>
      <c r="P204">
        <f>_xlfn.XLOOKUP(C204,Squad_Team_Summary!$A:$A,Squad_Team_Summary!$E:$E)-_xlfn.XLOOKUP(D204,Squad_Team_Summary!$A:$A,Squad_Team_Summary!$E:$E)</f>
        <v>-2.7691999999999997</v>
      </c>
      <c r="Q204">
        <f>_xlfn.XLOOKUP(C204,Squad_Team_Summary!$A:$A,Squad_Team_Summary!$F:$F)-_xlfn.XLOOKUP(D204,Squad_Team_Summary!$A:$A,Squad_Team_Summary!$F:$F)</f>
        <v>5.0384999999999991</v>
      </c>
      <c r="R204">
        <f>_xlfn.XLOOKUP(C204,Squad_Team_Summary!$A:$A,Squad_Team_Summary!$H:$H)-_xlfn.XLOOKUP(D204,Squad_Team_Summary!$A:$A,Squad_Team_Summary!$H:$H)</f>
        <v>-0.73080000000000001</v>
      </c>
    </row>
    <row r="205" spans="1:18" x14ac:dyDescent="0.3">
      <c r="A205">
        <v>400021540</v>
      </c>
      <c r="B205" t="s">
        <v>96</v>
      </c>
      <c r="C205" t="s">
        <v>59</v>
      </c>
      <c r="D205" t="s">
        <v>65</v>
      </c>
      <c r="E205" t="s">
        <v>18</v>
      </c>
      <c r="F205">
        <v>2</v>
      </c>
      <c r="G205">
        <v>49.25</v>
      </c>
      <c r="H205">
        <v>0</v>
      </c>
      <c r="I205">
        <v>0.57140000000000002</v>
      </c>
      <c r="J205">
        <v>0</v>
      </c>
      <c r="K205">
        <v>0.28570000000000001</v>
      </c>
      <c r="L205">
        <v>1.845</v>
      </c>
      <c r="M205">
        <v>-1</v>
      </c>
      <c r="N205">
        <v>0</v>
      </c>
      <c r="O205">
        <f>_xlfn.XLOOKUP(C205,Squad_Team_Summary!$A:$A,Squad_Team_Summary!$D:$D)-_xlfn.XLOOKUP(D205,Squad_Team_Summary!$A:$A,Squad_Team_Summary!$D:$D)</f>
        <v>16.038499999999999</v>
      </c>
      <c r="P205">
        <f>_xlfn.XLOOKUP(C205,Squad_Team_Summary!$A:$A,Squad_Team_Summary!$E:$E)-_xlfn.XLOOKUP(D205,Squad_Team_Summary!$A:$A,Squad_Team_Summary!$E:$E)</f>
        <v>2.7691999999999997</v>
      </c>
      <c r="Q205">
        <f>_xlfn.XLOOKUP(C205,Squad_Team_Summary!$A:$A,Squad_Team_Summary!$F:$F)-_xlfn.XLOOKUP(D205,Squad_Team_Summary!$A:$A,Squad_Team_Summary!$F:$F)</f>
        <v>-5.0384999999999991</v>
      </c>
      <c r="R205">
        <f>_xlfn.XLOOKUP(C205,Squad_Team_Summary!$A:$A,Squad_Team_Summary!$H:$H)-_xlfn.XLOOKUP(D205,Squad_Team_Summary!$A:$A,Squad_Team_Summary!$H:$H)</f>
        <v>0.73080000000000001</v>
      </c>
    </row>
    <row r="206" spans="1:18" x14ac:dyDescent="0.3">
      <c r="A206">
        <v>400021542</v>
      </c>
      <c r="B206" t="s">
        <v>97</v>
      </c>
      <c r="C206" t="s">
        <v>54</v>
      </c>
      <c r="D206" t="s">
        <v>65</v>
      </c>
      <c r="E206" t="s">
        <v>17</v>
      </c>
      <c r="F206">
        <v>4</v>
      </c>
      <c r="G206">
        <v>42.68</v>
      </c>
      <c r="H206">
        <v>0</v>
      </c>
      <c r="I206">
        <v>0.25</v>
      </c>
      <c r="J206">
        <v>-0.5</v>
      </c>
      <c r="K206">
        <v>0.25</v>
      </c>
      <c r="L206">
        <v>-0.27200000000000002</v>
      </c>
      <c r="M206">
        <v>1</v>
      </c>
      <c r="N206">
        <v>0</v>
      </c>
      <c r="O206">
        <f>_xlfn.XLOOKUP(C206,Squad_Team_Summary!$A:$A,Squad_Team_Summary!$D:$D)-_xlfn.XLOOKUP(D206,Squad_Team_Summary!$A:$A,Squad_Team_Summary!$D:$D)</f>
        <v>-1.5384000000000029</v>
      </c>
      <c r="P206">
        <f>_xlfn.XLOOKUP(C206,Squad_Team_Summary!$A:$A,Squad_Team_Summary!$E:$E)-_xlfn.XLOOKUP(D206,Squad_Team_Summary!$A:$A,Squad_Team_Summary!$E:$E)</f>
        <v>-1.8845999999999998</v>
      </c>
      <c r="Q206">
        <f>_xlfn.XLOOKUP(C206,Squad_Team_Summary!$A:$A,Squad_Team_Summary!$F:$F)-_xlfn.XLOOKUP(D206,Squad_Team_Summary!$A:$A,Squad_Team_Summary!$F:$F)</f>
        <v>0.30770000000001119</v>
      </c>
      <c r="R206">
        <f>_xlfn.XLOOKUP(C206,Squad_Team_Summary!$A:$A,Squad_Team_Summary!$H:$H)-_xlfn.XLOOKUP(D206,Squad_Team_Summary!$A:$A,Squad_Team_Summary!$H:$H)</f>
        <v>0.5</v>
      </c>
    </row>
    <row r="207" spans="1:18" x14ac:dyDescent="0.3">
      <c r="A207">
        <v>400021542</v>
      </c>
      <c r="B207" t="s">
        <v>97</v>
      </c>
      <c r="C207" t="s">
        <v>65</v>
      </c>
      <c r="D207" t="s">
        <v>54</v>
      </c>
      <c r="E207" t="s">
        <v>18</v>
      </c>
      <c r="F207">
        <v>6</v>
      </c>
      <c r="G207">
        <v>-42.68</v>
      </c>
      <c r="H207">
        <v>0</v>
      </c>
      <c r="I207">
        <v>-0.25</v>
      </c>
      <c r="J207">
        <v>0.5</v>
      </c>
      <c r="K207">
        <v>-0.25</v>
      </c>
      <c r="L207">
        <v>0.27200000000000002</v>
      </c>
      <c r="M207">
        <v>-1</v>
      </c>
      <c r="N207">
        <v>0</v>
      </c>
      <c r="O207">
        <f>_xlfn.XLOOKUP(C207,Squad_Team_Summary!$A:$A,Squad_Team_Summary!$D:$D)-_xlfn.XLOOKUP(D207,Squad_Team_Summary!$A:$A,Squad_Team_Summary!$D:$D)</f>
        <v>1.5384000000000029</v>
      </c>
      <c r="P207">
        <f>_xlfn.XLOOKUP(C207,Squad_Team_Summary!$A:$A,Squad_Team_Summary!$E:$E)-_xlfn.XLOOKUP(D207,Squad_Team_Summary!$A:$A,Squad_Team_Summary!$E:$E)</f>
        <v>1.8845999999999998</v>
      </c>
      <c r="Q207">
        <f>_xlfn.XLOOKUP(C207,Squad_Team_Summary!$A:$A,Squad_Team_Summary!$F:$F)-_xlfn.XLOOKUP(D207,Squad_Team_Summary!$A:$A,Squad_Team_Summary!$F:$F)</f>
        <v>-0.30770000000001119</v>
      </c>
      <c r="R207">
        <f>_xlfn.XLOOKUP(C207,Squad_Team_Summary!$A:$A,Squad_Team_Summary!$H:$H)-_xlfn.XLOOKUP(D207,Squad_Team_Summary!$A:$A,Squad_Team_Summary!$H:$H)</f>
        <v>-0.5</v>
      </c>
    </row>
    <row r="208" spans="1:18" x14ac:dyDescent="0.3">
      <c r="A208">
        <v>400021543</v>
      </c>
      <c r="B208" t="s">
        <v>98</v>
      </c>
      <c r="C208" t="s">
        <v>45</v>
      </c>
      <c r="D208" t="s">
        <v>59</v>
      </c>
      <c r="E208" t="s">
        <v>17</v>
      </c>
      <c r="F208">
        <v>1</v>
      </c>
      <c r="G208">
        <v>-2.56</v>
      </c>
      <c r="H208">
        <v>0</v>
      </c>
      <c r="I208">
        <v>-0.75</v>
      </c>
      <c r="J208">
        <v>-0.75</v>
      </c>
      <c r="K208">
        <v>-0.25</v>
      </c>
      <c r="L208">
        <v>-2.371</v>
      </c>
      <c r="M208">
        <v>1</v>
      </c>
      <c r="N208">
        <v>0</v>
      </c>
      <c r="O208">
        <f>_xlfn.XLOOKUP(C208,Squad_Team_Summary!$A:$A,Squad_Team_Summary!$D:$D)-_xlfn.XLOOKUP(D208,Squad_Team_Summary!$A:$A,Squad_Team_Summary!$D:$D)</f>
        <v>-19.692300000000003</v>
      </c>
      <c r="P208">
        <f>_xlfn.XLOOKUP(C208,Squad_Team_Summary!$A:$A,Squad_Team_Summary!$E:$E)-_xlfn.XLOOKUP(D208,Squad_Team_Summary!$A:$A,Squad_Team_Summary!$E:$E)</f>
        <v>-4.2691999999999997</v>
      </c>
      <c r="Q208">
        <f>_xlfn.XLOOKUP(C208,Squad_Team_Summary!$A:$A,Squad_Team_Summary!$F:$F)-_xlfn.XLOOKUP(D208,Squad_Team_Summary!$A:$A,Squad_Team_Summary!$F:$F)</f>
        <v>2.153899999999993</v>
      </c>
      <c r="R208">
        <f>_xlfn.XLOOKUP(C208,Squad_Team_Summary!$A:$A,Squad_Team_Summary!$H:$H)-_xlfn.XLOOKUP(D208,Squad_Team_Summary!$A:$A,Squad_Team_Summary!$H:$H)</f>
        <v>-0.57689999999999997</v>
      </c>
    </row>
    <row r="209" spans="1:18" x14ac:dyDescent="0.3">
      <c r="A209">
        <v>400021543</v>
      </c>
      <c r="B209" t="s">
        <v>98</v>
      </c>
      <c r="C209" t="s">
        <v>59</v>
      </c>
      <c r="D209" t="s">
        <v>45</v>
      </c>
      <c r="E209" t="s">
        <v>18</v>
      </c>
      <c r="F209">
        <v>0</v>
      </c>
      <c r="G209">
        <v>2.56</v>
      </c>
      <c r="H209">
        <v>0</v>
      </c>
      <c r="I209">
        <v>0.75</v>
      </c>
      <c r="J209">
        <v>0.75</v>
      </c>
      <c r="K209">
        <v>0.25</v>
      </c>
      <c r="L209">
        <v>2.371</v>
      </c>
      <c r="M209">
        <v>-1</v>
      </c>
      <c r="N209">
        <v>0</v>
      </c>
      <c r="O209">
        <f>_xlfn.XLOOKUP(C209,Squad_Team_Summary!$A:$A,Squad_Team_Summary!$D:$D)-_xlfn.XLOOKUP(D209,Squad_Team_Summary!$A:$A,Squad_Team_Summary!$D:$D)</f>
        <v>19.692300000000003</v>
      </c>
      <c r="P209">
        <f>_xlfn.XLOOKUP(C209,Squad_Team_Summary!$A:$A,Squad_Team_Summary!$E:$E)-_xlfn.XLOOKUP(D209,Squad_Team_Summary!$A:$A,Squad_Team_Summary!$E:$E)</f>
        <v>4.2691999999999997</v>
      </c>
      <c r="Q209">
        <f>_xlfn.XLOOKUP(C209,Squad_Team_Summary!$A:$A,Squad_Team_Summary!$F:$F)-_xlfn.XLOOKUP(D209,Squad_Team_Summary!$A:$A,Squad_Team_Summary!$F:$F)</f>
        <v>-2.153899999999993</v>
      </c>
      <c r="R209">
        <f>_xlfn.XLOOKUP(C209,Squad_Team_Summary!$A:$A,Squad_Team_Summary!$H:$H)-_xlfn.XLOOKUP(D209,Squad_Team_Summary!$A:$A,Squad_Team_Summary!$H:$H)</f>
        <v>0.57689999999999997</v>
      </c>
    </row>
  </sheetData>
  <autoFilter ref="A1:R209" xr:uid="{00000000-0001-0000-0000-000000000000}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</cols>
  <sheetData>
    <row r="1" spans="1:1" ht="31.95" customHeight="1" x14ac:dyDescent="0.3">
      <c r="A1" s="1" t="s">
        <v>99</v>
      </c>
    </row>
    <row r="2" spans="1:1" x14ac:dyDescent="0.3">
      <c r="A2" t="s">
        <v>100</v>
      </c>
    </row>
    <row r="3" spans="1:1" x14ac:dyDescent="0.3">
      <c r="A3" t="s">
        <v>101</v>
      </c>
    </row>
    <row r="4" spans="1:1" x14ac:dyDescent="0.3">
      <c r="A4" t="s">
        <v>102</v>
      </c>
    </row>
    <row r="5" spans="1:1" x14ac:dyDescent="0.3">
      <c r="A5" t="s">
        <v>103</v>
      </c>
    </row>
  </sheetData>
  <autoFilter ref="A1:A5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2" width="12" customWidth="1"/>
    <col min="3" max="4" width="24" customWidth="1"/>
    <col min="5" max="5" width="16" customWidth="1"/>
    <col min="6" max="6" width="15" customWidth="1"/>
    <col min="7" max="7" width="18" customWidth="1"/>
    <col min="8" max="8" width="19" customWidth="1"/>
    <col min="9" max="9" width="16" customWidth="1"/>
    <col min="10" max="11" width="14" customWidth="1"/>
    <col min="12" max="12" width="18" customWidth="1"/>
    <col min="13" max="13" width="12" customWidth="1"/>
  </cols>
  <sheetData>
    <row r="1" spans="1:13" ht="31.95" customHeight="1" x14ac:dyDescent="0.3">
      <c r="A1" s="1" t="s">
        <v>0</v>
      </c>
      <c r="B1" s="1" t="s">
        <v>1</v>
      </c>
      <c r="C1" s="1" t="s">
        <v>104</v>
      </c>
      <c r="D1" s="1" t="s">
        <v>105</v>
      </c>
      <c r="E1" s="1" t="s">
        <v>106</v>
      </c>
      <c r="F1" s="1" t="s">
        <v>107</v>
      </c>
      <c r="G1" s="1" t="s">
        <v>108</v>
      </c>
      <c r="H1" s="1" t="s">
        <v>109</v>
      </c>
      <c r="I1" s="1" t="s">
        <v>110</v>
      </c>
      <c r="J1" s="1" t="s">
        <v>111</v>
      </c>
      <c r="K1" s="1" t="s">
        <v>112</v>
      </c>
      <c r="L1" s="1" t="s">
        <v>113</v>
      </c>
      <c r="M1" s="1" t="s">
        <v>114</v>
      </c>
    </row>
    <row r="2" spans="1:13" x14ac:dyDescent="0.3">
      <c r="A2">
        <v>400021443</v>
      </c>
      <c r="B2" t="s">
        <v>14</v>
      </c>
      <c r="C2" t="s">
        <v>15</v>
      </c>
      <c r="D2" t="s">
        <v>16</v>
      </c>
      <c r="E2">
        <v>259.10000000000002</v>
      </c>
      <c r="F2">
        <v>1</v>
      </c>
      <c r="G2">
        <v>0</v>
      </c>
      <c r="H2">
        <v>0</v>
      </c>
      <c r="I2">
        <v>0</v>
      </c>
      <c r="J2">
        <v>1.0920000000000001</v>
      </c>
      <c r="K2">
        <v>0</v>
      </c>
      <c r="L2">
        <v>0</v>
      </c>
      <c r="M2">
        <v>2</v>
      </c>
    </row>
    <row r="3" spans="1:13" x14ac:dyDescent="0.3">
      <c r="A3">
        <v>400021441</v>
      </c>
      <c r="B3" t="s">
        <v>19</v>
      </c>
      <c r="C3" t="s">
        <v>20</v>
      </c>
      <c r="D3" t="s">
        <v>21</v>
      </c>
      <c r="E3">
        <v>85.89</v>
      </c>
      <c r="F3">
        <v>0</v>
      </c>
      <c r="G3">
        <v>0</v>
      </c>
      <c r="H3">
        <v>0</v>
      </c>
      <c r="I3">
        <v>0</v>
      </c>
      <c r="J3">
        <v>0.44500000000000001</v>
      </c>
      <c r="K3">
        <v>0</v>
      </c>
      <c r="L3">
        <v>-1</v>
      </c>
      <c r="M3">
        <v>1</v>
      </c>
    </row>
    <row r="4" spans="1:13" x14ac:dyDescent="0.3">
      <c r="A4">
        <v>400021449</v>
      </c>
      <c r="B4" t="s">
        <v>19</v>
      </c>
      <c r="C4" t="s">
        <v>22</v>
      </c>
      <c r="D4" t="s">
        <v>23</v>
      </c>
      <c r="E4">
        <v>172.26</v>
      </c>
      <c r="F4">
        <v>1</v>
      </c>
      <c r="G4">
        <v>0</v>
      </c>
      <c r="H4">
        <v>0</v>
      </c>
      <c r="I4">
        <v>0</v>
      </c>
      <c r="J4">
        <v>0.51600000000000001</v>
      </c>
      <c r="K4">
        <v>0</v>
      </c>
      <c r="L4">
        <v>-1</v>
      </c>
      <c r="M4">
        <v>0</v>
      </c>
    </row>
    <row r="5" spans="1:13" x14ac:dyDescent="0.3">
      <c r="A5">
        <v>400021458</v>
      </c>
      <c r="B5" t="s">
        <v>24</v>
      </c>
      <c r="C5" t="s">
        <v>25</v>
      </c>
      <c r="D5" t="s">
        <v>26</v>
      </c>
      <c r="E5">
        <v>165.88</v>
      </c>
      <c r="F5">
        <v>1</v>
      </c>
      <c r="G5">
        <v>0</v>
      </c>
      <c r="H5">
        <v>0</v>
      </c>
      <c r="I5">
        <v>0</v>
      </c>
      <c r="J5">
        <v>-2.0979999999999999</v>
      </c>
      <c r="K5">
        <v>0</v>
      </c>
      <c r="L5">
        <v>-1</v>
      </c>
      <c r="M5">
        <v>3</v>
      </c>
    </row>
    <row r="6" spans="1:13" x14ac:dyDescent="0.3">
      <c r="A6">
        <v>400021447</v>
      </c>
      <c r="B6" t="s">
        <v>24</v>
      </c>
      <c r="C6" t="s">
        <v>27</v>
      </c>
      <c r="D6" t="s">
        <v>28</v>
      </c>
      <c r="E6">
        <v>-199.75</v>
      </c>
      <c r="F6">
        <v>0</v>
      </c>
      <c r="G6">
        <v>0</v>
      </c>
      <c r="H6">
        <v>0</v>
      </c>
      <c r="I6">
        <v>0</v>
      </c>
      <c r="J6">
        <v>1.2010000000000001</v>
      </c>
      <c r="K6">
        <v>0</v>
      </c>
      <c r="L6">
        <v>-1</v>
      </c>
      <c r="M6">
        <v>0</v>
      </c>
    </row>
    <row r="7" spans="1:13" x14ac:dyDescent="0.3">
      <c r="A7">
        <v>400021456</v>
      </c>
      <c r="B7" t="s">
        <v>24</v>
      </c>
      <c r="C7" t="s">
        <v>29</v>
      </c>
      <c r="D7" t="s">
        <v>30</v>
      </c>
      <c r="E7">
        <v>10.76</v>
      </c>
      <c r="F7">
        <v>0</v>
      </c>
      <c r="G7">
        <v>0</v>
      </c>
      <c r="H7">
        <v>0</v>
      </c>
      <c r="I7">
        <v>0</v>
      </c>
      <c r="J7">
        <v>2.7639999999999998</v>
      </c>
      <c r="K7">
        <v>0</v>
      </c>
      <c r="L7">
        <v>1</v>
      </c>
      <c r="M7">
        <v>0</v>
      </c>
    </row>
    <row r="8" spans="1:13" x14ac:dyDescent="0.3">
      <c r="A8">
        <v>400021453</v>
      </c>
      <c r="B8" t="s">
        <v>31</v>
      </c>
      <c r="C8" t="s">
        <v>32</v>
      </c>
      <c r="D8" t="s">
        <v>33</v>
      </c>
      <c r="E8">
        <v>-210.24</v>
      </c>
      <c r="F8">
        <v>0</v>
      </c>
      <c r="G8">
        <v>0</v>
      </c>
      <c r="H8">
        <v>0</v>
      </c>
      <c r="I8">
        <v>0</v>
      </c>
      <c r="J8">
        <v>-1.694</v>
      </c>
      <c r="K8">
        <v>0</v>
      </c>
      <c r="L8">
        <v>-1</v>
      </c>
      <c r="M8">
        <v>-1</v>
      </c>
    </row>
    <row r="9" spans="1:13" x14ac:dyDescent="0.3">
      <c r="A9">
        <v>400021463</v>
      </c>
      <c r="B9" t="s">
        <v>31</v>
      </c>
      <c r="C9" t="s">
        <v>34</v>
      </c>
      <c r="D9" t="s">
        <v>35</v>
      </c>
      <c r="E9">
        <v>-26.39</v>
      </c>
      <c r="F9">
        <v>0</v>
      </c>
      <c r="G9">
        <v>0</v>
      </c>
      <c r="H9">
        <v>0</v>
      </c>
      <c r="I9">
        <v>0</v>
      </c>
      <c r="J9">
        <v>-0.313</v>
      </c>
      <c r="K9">
        <v>0</v>
      </c>
      <c r="L9">
        <v>-1</v>
      </c>
      <c r="M9">
        <v>2</v>
      </c>
    </row>
    <row r="10" spans="1:13" x14ac:dyDescent="0.3">
      <c r="A10">
        <v>400021464</v>
      </c>
      <c r="B10" t="s">
        <v>31</v>
      </c>
      <c r="C10" t="s">
        <v>36</v>
      </c>
      <c r="D10" t="s">
        <v>37</v>
      </c>
      <c r="E10">
        <v>441</v>
      </c>
      <c r="F10">
        <v>0</v>
      </c>
      <c r="G10">
        <v>0</v>
      </c>
      <c r="H10">
        <v>0</v>
      </c>
      <c r="I10">
        <v>0</v>
      </c>
      <c r="J10">
        <v>2.5999999999999999E-2</v>
      </c>
      <c r="K10">
        <v>0</v>
      </c>
      <c r="L10">
        <v>1</v>
      </c>
      <c r="M10">
        <v>6</v>
      </c>
    </row>
    <row r="11" spans="1:13" x14ac:dyDescent="0.3">
      <c r="A11">
        <v>400021470</v>
      </c>
      <c r="B11" t="s">
        <v>31</v>
      </c>
      <c r="C11" t="s">
        <v>38</v>
      </c>
      <c r="D11" t="s">
        <v>39</v>
      </c>
      <c r="E11">
        <v>91.99</v>
      </c>
      <c r="F11">
        <v>0</v>
      </c>
      <c r="G11">
        <v>0</v>
      </c>
      <c r="H11">
        <v>0</v>
      </c>
      <c r="I11">
        <v>0</v>
      </c>
      <c r="J11">
        <v>0.27900000000000003</v>
      </c>
      <c r="K11">
        <v>0</v>
      </c>
      <c r="L11">
        <v>1</v>
      </c>
      <c r="M11">
        <v>0</v>
      </c>
    </row>
    <row r="12" spans="1:13" x14ac:dyDescent="0.3">
      <c r="A12">
        <v>400021467</v>
      </c>
      <c r="B12" t="s">
        <v>31</v>
      </c>
      <c r="C12" t="s">
        <v>40</v>
      </c>
      <c r="D12" t="s">
        <v>41</v>
      </c>
      <c r="E12">
        <v>-57.65</v>
      </c>
      <c r="F12">
        <v>0</v>
      </c>
      <c r="G12">
        <v>0</v>
      </c>
      <c r="H12">
        <v>0</v>
      </c>
      <c r="I12">
        <v>0</v>
      </c>
      <c r="J12">
        <v>-0.22900000000000001</v>
      </c>
      <c r="K12">
        <v>0</v>
      </c>
      <c r="L12">
        <v>-1</v>
      </c>
      <c r="M12">
        <v>1</v>
      </c>
    </row>
    <row r="13" spans="1:13" x14ac:dyDescent="0.3">
      <c r="A13">
        <v>400021474</v>
      </c>
      <c r="B13" t="s">
        <v>42</v>
      </c>
      <c r="C13" t="s">
        <v>43</v>
      </c>
      <c r="D13" t="s">
        <v>44</v>
      </c>
      <c r="E13">
        <v>33.380000000000003</v>
      </c>
      <c r="F13">
        <v>0</v>
      </c>
      <c r="G13">
        <v>0</v>
      </c>
      <c r="H13">
        <v>0</v>
      </c>
      <c r="I13">
        <v>0</v>
      </c>
      <c r="J13">
        <v>0.91200000000000003</v>
      </c>
      <c r="K13">
        <v>0</v>
      </c>
      <c r="L13">
        <v>1</v>
      </c>
      <c r="M13">
        <v>4</v>
      </c>
    </row>
    <row r="14" spans="1:13" x14ac:dyDescent="0.3">
      <c r="A14">
        <v>400021482</v>
      </c>
      <c r="B14" t="s">
        <v>42</v>
      </c>
      <c r="C14" t="s">
        <v>45</v>
      </c>
      <c r="D14" t="s">
        <v>46</v>
      </c>
      <c r="E14">
        <v>503.6</v>
      </c>
      <c r="F14">
        <v>0</v>
      </c>
      <c r="G14">
        <v>0</v>
      </c>
      <c r="H14">
        <v>0</v>
      </c>
      <c r="I14">
        <v>0</v>
      </c>
      <c r="J14">
        <v>-2.9289999999999998</v>
      </c>
      <c r="K14">
        <v>0</v>
      </c>
      <c r="L14">
        <v>1</v>
      </c>
      <c r="M14">
        <v>0</v>
      </c>
    </row>
    <row r="15" spans="1:13" x14ac:dyDescent="0.3">
      <c r="A15">
        <v>400021478</v>
      </c>
      <c r="B15" t="s">
        <v>42</v>
      </c>
      <c r="C15" t="s">
        <v>47</v>
      </c>
      <c r="D15" t="s">
        <v>48</v>
      </c>
      <c r="E15">
        <v>179.87</v>
      </c>
      <c r="F15">
        <v>0</v>
      </c>
      <c r="G15">
        <v>0</v>
      </c>
      <c r="H15">
        <v>0</v>
      </c>
      <c r="I15">
        <v>0</v>
      </c>
      <c r="J15">
        <v>-1.444</v>
      </c>
      <c r="K15">
        <v>0</v>
      </c>
      <c r="L15">
        <v>1</v>
      </c>
      <c r="M15">
        <v>0</v>
      </c>
    </row>
    <row r="16" spans="1:13" x14ac:dyDescent="0.3">
      <c r="A16">
        <v>400021486</v>
      </c>
      <c r="B16" t="s">
        <v>42</v>
      </c>
      <c r="C16" t="s">
        <v>49</v>
      </c>
      <c r="D16" t="s">
        <v>50</v>
      </c>
      <c r="E16">
        <v>-249.19</v>
      </c>
      <c r="F16">
        <v>0</v>
      </c>
      <c r="G16">
        <v>0</v>
      </c>
      <c r="H16">
        <v>0</v>
      </c>
      <c r="I16">
        <v>0</v>
      </c>
      <c r="J16">
        <v>-0.22600000000000001</v>
      </c>
      <c r="K16">
        <v>0</v>
      </c>
      <c r="L16">
        <v>-1</v>
      </c>
      <c r="M16">
        <v>0</v>
      </c>
    </row>
    <row r="17" spans="1:13" x14ac:dyDescent="0.3">
      <c r="A17">
        <v>400021476</v>
      </c>
      <c r="B17" t="s">
        <v>51</v>
      </c>
      <c r="C17" t="s">
        <v>52</v>
      </c>
      <c r="D17" t="s">
        <v>53</v>
      </c>
      <c r="E17">
        <v>344</v>
      </c>
      <c r="F17">
        <v>0</v>
      </c>
      <c r="G17">
        <v>0</v>
      </c>
      <c r="H17">
        <v>0</v>
      </c>
      <c r="I17">
        <v>0</v>
      </c>
      <c r="J17">
        <v>2.0649999999999999</v>
      </c>
      <c r="K17">
        <v>0</v>
      </c>
      <c r="L17">
        <v>0</v>
      </c>
      <c r="M17">
        <v>0</v>
      </c>
    </row>
    <row r="18" spans="1:13" x14ac:dyDescent="0.3">
      <c r="A18">
        <v>400021490</v>
      </c>
      <c r="B18" t="s">
        <v>51</v>
      </c>
      <c r="C18" t="s">
        <v>54</v>
      </c>
      <c r="D18" t="s">
        <v>55</v>
      </c>
      <c r="E18">
        <v>186.63</v>
      </c>
      <c r="F18">
        <v>0</v>
      </c>
      <c r="G18">
        <v>0</v>
      </c>
      <c r="H18">
        <v>0</v>
      </c>
      <c r="I18">
        <v>0</v>
      </c>
      <c r="J18">
        <v>-8.5999999999999993E-2</v>
      </c>
      <c r="K18">
        <v>0</v>
      </c>
      <c r="L18">
        <v>1</v>
      </c>
      <c r="M18">
        <v>2</v>
      </c>
    </row>
    <row r="19" spans="1:13" x14ac:dyDescent="0.3">
      <c r="A19">
        <v>400021488</v>
      </c>
      <c r="B19" t="s">
        <v>51</v>
      </c>
      <c r="C19" t="s">
        <v>56</v>
      </c>
      <c r="D19" t="s">
        <v>57</v>
      </c>
      <c r="E19">
        <v>-111.16</v>
      </c>
      <c r="F19">
        <v>0</v>
      </c>
      <c r="G19">
        <v>0</v>
      </c>
      <c r="H19">
        <v>0</v>
      </c>
      <c r="I19">
        <v>0</v>
      </c>
      <c r="J19">
        <v>0.111</v>
      </c>
      <c r="K19">
        <v>0</v>
      </c>
      <c r="L19">
        <v>-1</v>
      </c>
      <c r="M19">
        <v>-3</v>
      </c>
    </row>
    <row r="20" spans="1:13" x14ac:dyDescent="0.3">
      <c r="A20">
        <v>400021496</v>
      </c>
      <c r="B20" t="s">
        <v>58</v>
      </c>
      <c r="C20" t="s">
        <v>59</v>
      </c>
      <c r="D20" t="s">
        <v>60</v>
      </c>
      <c r="E20">
        <v>306.24</v>
      </c>
      <c r="F20">
        <v>0</v>
      </c>
      <c r="G20">
        <v>0</v>
      </c>
      <c r="H20">
        <v>0</v>
      </c>
      <c r="I20">
        <v>0</v>
      </c>
      <c r="J20">
        <v>2.2610000000000001</v>
      </c>
      <c r="K20">
        <v>0</v>
      </c>
      <c r="L20">
        <v>1</v>
      </c>
      <c r="M20">
        <v>3</v>
      </c>
    </row>
    <row r="21" spans="1:13" x14ac:dyDescent="0.3">
      <c r="A21">
        <v>400021498</v>
      </c>
      <c r="B21" t="s">
        <v>58</v>
      </c>
      <c r="C21" t="s">
        <v>61</v>
      </c>
      <c r="D21" t="s">
        <v>62</v>
      </c>
      <c r="E21">
        <v>209.66</v>
      </c>
      <c r="F21">
        <v>0</v>
      </c>
      <c r="G21">
        <v>0</v>
      </c>
      <c r="H21">
        <v>0</v>
      </c>
      <c r="I21">
        <v>0</v>
      </c>
      <c r="J21">
        <v>0.14599999999999999</v>
      </c>
      <c r="K21">
        <v>0</v>
      </c>
      <c r="L21">
        <v>1</v>
      </c>
      <c r="M21">
        <v>2</v>
      </c>
    </row>
    <row r="22" spans="1:13" x14ac:dyDescent="0.3">
      <c r="A22">
        <v>400021502</v>
      </c>
      <c r="B22" t="s">
        <v>58</v>
      </c>
      <c r="C22" t="s">
        <v>63</v>
      </c>
      <c r="D22" t="s">
        <v>64</v>
      </c>
      <c r="E22">
        <v>293.42</v>
      </c>
      <c r="F22">
        <v>0</v>
      </c>
      <c r="G22">
        <v>0</v>
      </c>
      <c r="H22">
        <v>0</v>
      </c>
      <c r="I22">
        <v>0</v>
      </c>
      <c r="J22">
        <v>-1.0329999999999999</v>
      </c>
      <c r="K22">
        <v>0</v>
      </c>
      <c r="L22">
        <v>1</v>
      </c>
      <c r="M22">
        <v>0</v>
      </c>
    </row>
    <row r="23" spans="1:13" x14ac:dyDescent="0.3">
      <c r="A23">
        <v>400021507</v>
      </c>
      <c r="B23" t="s">
        <v>58</v>
      </c>
      <c r="C23" t="s">
        <v>65</v>
      </c>
      <c r="D23" t="s">
        <v>66</v>
      </c>
      <c r="E23">
        <v>113.15</v>
      </c>
      <c r="F23">
        <v>0</v>
      </c>
      <c r="G23">
        <v>0</v>
      </c>
      <c r="H23">
        <v>0</v>
      </c>
      <c r="I23">
        <v>0</v>
      </c>
      <c r="J23">
        <v>-1.056</v>
      </c>
      <c r="K23">
        <v>0</v>
      </c>
      <c r="L23">
        <v>0</v>
      </c>
      <c r="M23">
        <v>2</v>
      </c>
    </row>
    <row r="24" spans="1:13" x14ac:dyDescent="0.3">
      <c r="A24">
        <v>400021510</v>
      </c>
      <c r="B24" t="s">
        <v>58</v>
      </c>
      <c r="C24" t="s">
        <v>67</v>
      </c>
      <c r="D24" t="s">
        <v>68</v>
      </c>
      <c r="E24">
        <v>-192.28</v>
      </c>
      <c r="F24">
        <v>0</v>
      </c>
      <c r="G24">
        <v>0</v>
      </c>
      <c r="H24">
        <v>0</v>
      </c>
      <c r="I24">
        <v>0</v>
      </c>
      <c r="J24">
        <v>-3.4510000000000001</v>
      </c>
      <c r="K24">
        <v>0</v>
      </c>
      <c r="L24">
        <v>0</v>
      </c>
      <c r="M24">
        <v>1</v>
      </c>
    </row>
    <row r="25" spans="1:13" x14ac:dyDescent="0.3">
      <c r="A25">
        <v>400021504</v>
      </c>
      <c r="B25" t="s">
        <v>69</v>
      </c>
      <c r="C25" t="s">
        <v>70</v>
      </c>
      <c r="D25" t="s">
        <v>71</v>
      </c>
      <c r="E25">
        <v>-239.62</v>
      </c>
      <c r="F25">
        <v>0</v>
      </c>
      <c r="G25">
        <v>0</v>
      </c>
      <c r="H25">
        <v>0</v>
      </c>
      <c r="I25">
        <v>0</v>
      </c>
      <c r="J25">
        <v>-1.8759999999999999</v>
      </c>
      <c r="K25">
        <v>0</v>
      </c>
      <c r="L25">
        <v>-1</v>
      </c>
      <c r="M25">
        <v>-2</v>
      </c>
    </row>
    <row r="26" spans="1:13" x14ac:dyDescent="0.3">
      <c r="A26">
        <v>400021440</v>
      </c>
      <c r="B26" t="s">
        <v>69</v>
      </c>
      <c r="C26" t="s">
        <v>21</v>
      </c>
      <c r="D26" t="s">
        <v>16</v>
      </c>
      <c r="E26">
        <v>77.36</v>
      </c>
      <c r="F26">
        <v>0</v>
      </c>
      <c r="G26">
        <v>0.5</v>
      </c>
      <c r="H26">
        <v>0</v>
      </c>
      <c r="I26">
        <v>0</v>
      </c>
      <c r="J26">
        <v>0.81200000000000006</v>
      </c>
      <c r="K26">
        <v>-1</v>
      </c>
      <c r="L26">
        <v>1</v>
      </c>
      <c r="M26">
        <v>0</v>
      </c>
    </row>
    <row r="27" spans="1:13" x14ac:dyDescent="0.3">
      <c r="A27">
        <v>400021446</v>
      </c>
      <c r="B27" t="s">
        <v>69</v>
      </c>
      <c r="C27" t="s">
        <v>28</v>
      </c>
      <c r="D27" t="s">
        <v>23</v>
      </c>
      <c r="E27">
        <v>262.83999999999997</v>
      </c>
      <c r="F27">
        <v>0</v>
      </c>
      <c r="G27">
        <v>0</v>
      </c>
      <c r="H27">
        <v>0</v>
      </c>
      <c r="I27">
        <v>0</v>
      </c>
      <c r="J27">
        <v>1.851</v>
      </c>
      <c r="K27">
        <v>-1</v>
      </c>
      <c r="L27">
        <v>0</v>
      </c>
      <c r="M27">
        <v>3</v>
      </c>
    </row>
    <row r="28" spans="1:13" x14ac:dyDescent="0.3">
      <c r="A28">
        <v>400021450</v>
      </c>
      <c r="B28" t="s">
        <v>69</v>
      </c>
      <c r="C28" t="s">
        <v>22</v>
      </c>
      <c r="D28" t="s">
        <v>27</v>
      </c>
      <c r="E28">
        <v>109.17</v>
      </c>
      <c r="F28">
        <v>1</v>
      </c>
      <c r="G28">
        <v>0</v>
      </c>
      <c r="H28">
        <v>0</v>
      </c>
      <c r="I28">
        <v>0</v>
      </c>
      <c r="J28">
        <v>-2.5350000000000001</v>
      </c>
      <c r="K28">
        <v>1</v>
      </c>
      <c r="L28">
        <v>0</v>
      </c>
      <c r="M28">
        <v>6</v>
      </c>
    </row>
    <row r="29" spans="1:13" x14ac:dyDescent="0.3">
      <c r="A29">
        <v>400021442</v>
      </c>
      <c r="B29" t="s">
        <v>72</v>
      </c>
      <c r="C29" t="s">
        <v>15</v>
      </c>
      <c r="D29" t="s">
        <v>20</v>
      </c>
      <c r="E29">
        <v>95.85</v>
      </c>
      <c r="F29">
        <v>1</v>
      </c>
      <c r="G29">
        <v>0</v>
      </c>
      <c r="H29">
        <v>-0.5</v>
      </c>
      <c r="I29">
        <v>0</v>
      </c>
      <c r="J29">
        <v>-0.16500000000000001</v>
      </c>
      <c r="K29">
        <v>0</v>
      </c>
      <c r="L29">
        <v>0</v>
      </c>
      <c r="M29">
        <v>1</v>
      </c>
    </row>
    <row r="30" spans="1:13" x14ac:dyDescent="0.3">
      <c r="A30">
        <v>400021462</v>
      </c>
      <c r="B30" t="s">
        <v>72</v>
      </c>
      <c r="C30" t="s">
        <v>25</v>
      </c>
      <c r="D30" t="s">
        <v>34</v>
      </c>
      <c r="E30">
        <v>91.89</v>
      </c>
      <c r="F30">
        <v>1</v>
      </c>
      <c r="G30">
        <v>1</v>
      </c>
      <c r="H30">
        <v>0.5</v>
      </c>
      <c r="I30">
        <v>0</v>
      </c>
      <c r="J30">
        <v>-0.45400000000000001</v>
      </c>
      <c r="K30">
        <v>1</v>
      </c>
      <c r="L30">
        <v>0</v>
      </c>
      <c r="M30">
        <v>2</v>
      </c>
    </row>
    <row r="31" spans="1:13" x14ac:dyDescent="0.3">
      <c r="A31">
        <v>400021454</v>
      </c>
      <c r="B31" t="s">
        <v>72</v>
      </c>
      <c r="C31" t="s">
        <v>33</v>
      </c>
      <c r="D31" t="s">
        <v>30</v>
      </c>
      <c r="E31">
        <v>-251.76</v>
      </c>
      <c r="F31">
        <v>0</v>
      </c>
      <c r="G31">
        <v>0</v>
      </c>
      <c r="H31">
        <v>-0.5</v>
      </c>
      <c r="I31">
        <v>1</v>
      </c>
      <c r="J31">
        <v>2.6030000000000002</v>
      </c>
      <c r="K31">
        <v>-1</v>
      </c>
      <c r="L31">
        <v>1</v>
      </c>
      <c r="M31">
        <v>-1</v>
      </c>
    </row>
    <row r="32" spans="1:13" x14ac:dyDescent="0.3">
      <c r="A32">
        <v>400021457</v>
      </c>
      <c r="B32" t="s">
        <v>73</v>
      </c>
      <c r="C32" t="s">
        <v>29</v>
      </c>
      <c r="D32" t="s">
        <v>32</v>
      </c>
      <c r="E32">
        <v>472.76</v>
      </c>
      <c r="F32">
        <v>0</v>
      </c>
      <c r="G32">
        <v>0.5</v>
      </c>
      <c r="H32">
        <v>0</v>
      </c>
      <c r="I32">
        <v>0.5</v>
      </c>
      <c r="J32">
        <v>1.855</v>
      </c>
      <c r="K32">
        <v>1</v>
      </c>
      <c r="L32">
        <v>1</v>
      </c>
      <c r="M32">
        <v>3</v>
      </c>
    </row>
    <row r="33" spans="1:13" x14ac:dyDescent="0.3">
      <c r="A33">
        <v>400021460</v>
      </c>
      <c r="B33" t="s">
        <v>73</v>
      </c>
      <c r="C33" t="s">
        <v>35</v>
      </c>
      <c r="D33" t="s">
        <v>26</v>
      </c>
      <c r="E33">
        <v>100.38</v>
      </c>
      <c r="F33">
        <v>0</v>
      </c>
      <c r="G33">
        <v>-0.5</v>
      </c>
      <c r="H33">
        <v>-1</v>
      </c>
      <c r="I33">
        <v>0</v>
      </c>
      <c r="J33">
        <v>-1.33</v>
      </c>
      <c r="K33">
        <v>-1</v>
      </c>
      <c r="L33">
        <v>0</v>
      </c>
      <c r="M33">
        <v>-1</v>
      </c>
    </row>
    <row r="34" spans="1:13" x14ac:dyDescent="0.3">
      <c r="A34">
        <v>400021472</v>
      </c>
      <c r="B34" t="s">
        <v>73</v>
      </c>
      <c r="C34" t="s">
        <v>38</v>
      </c>
      <c r="D34" t="s">
        <v>43</v>
      </c>
      <c r="E34">
        <v>243.78</v>
      </c>
      <c r="F34">
        <v>0</v>
      </c>
      <c r="G34">
        <v>-1.5</v>
      </c>
      <c r="H34">
        <v>0.5</v>
      </c>
      <c r="I34">
        <v>-1</v>
      </c>
      <c r="J34">
        <v>0.217</v>
      </c>
      <c r="K34">
        <v>1</v>
      </c>
      <c r="L34">
        <v>0</v>
      </c>
      <c r="M34">
        <v>4</v>
      </c>
    </row>
    <row r="35" spans="1:13" x14ac:dyDescent="0.3">
      <c r="A35">
        <v>400021469</v>
      </c>
      <c r="B35" t="s">
        <v>73</v>
      </c>
      <c r="C35" t="s">
        <v>36</v>
      </c>
      <c r="D35" t="s">
        <v>40</v>
      </c>
      <c r="E35">
        <v>194.9</v>
      </c>
      <c r="F35">
        <v>0</v>
      </c>
      <c r="G35">
        <v>3</v>
      </c>
      <c r="H35">
        <v>0.5</v>
      </c>
      <c r="I35">
        <v>0</v>
      </c>
      <c r="J35">
        <v>2.198</v>
      </c>
      <c r="K35">
        <v>0</v>
      </c>
      <c r="L35">
        <v>1</v>
      </c>
      <c r="M35">
        <v>1</v>
      </c>
    </row>
    <row r="36" spans="1:13" x14ac:dyDescent="0.3">
      <c r="A36">
        <v>400021465</v>
      </c>
      <c r="B36" t="s">
        <v>74</v>
      </c>
      <c r="C36" t="s">
        <v>41</v>
      </c>
      <c r="D36" t="s">
        <v>37</v>
      </c>
      <c r="E36">
        <v>303.75</v>
      </c>
      <c r="F36">
        <v>0</v>
      </c>
      <c r="G36">
        <v>-0.5</v>
      </c>
      <c r="H36">
        <v>-3</v>
      </c>
      <c r="I36">
        <v>0</v>
      </c>
      <c r="J36">
        <v>-1.9430000000000001</v>
      </c>
      <c r="K36">
        <v>0</v>
      </c>
      <c r="L36">
        <v>1</v>
      </c>
      <c r="M36">
        <v>0</v>
      </c>
    </row>
    <row r="37" spans="1:13" x14ac:dyDescent="0.3">
      <c r="A37">
        <v>400021475</v>
      </c>
      <c r="B37" t="s">
        <v>74</v>
      </c>
      <c r="C37" t="s">
        <v>44</v>
      </c>
      <c r="D37" t="s">
        <v>39</v>
      </c>
      <c r="E37">
        <v>-185.17</v>
      </c>
      <c r="F37">
        <v>0</v>
      </c>
      <c r="G37">
        <v>-0.5</v>
      </c>
      <c r="H37">
        <v>1.5</v>
      </c>
      <c r="I37">
        <v>-0.5</v>
      </c>
      <c r="J37">
        <v>-0.85099999999999998</v>
      </c>
      <c r="K37">
        <v>-1</v>
      </c>
      <c r="L37">
        <v>0</v>
      </c>
      <c r="M37">
        <v>-4</v>
      </c>
    </row>
    <row r="38" spans="1:13" x14ac:dyDescent="0.3">
      <c r="A38">
        <v>400021483</v>
      </c>
      <c r="B38" t="s">
        <v>74</v>
      </c>
      <c r="C38" t="s">
        <v>45</v>
      </c>
      <c r="D38" t="s">
        <v>49</v>
      </c>
      <c r="E38">
        <v>450.83</v>
      </c>
      <c r="F38">
        <v>0</v>
      </c>
      <c r="G38">
        <v>-0.5</v>
      </c>
      <c r="H38">
        <v>-0.5</v>
      </c>
      <c r="I38">
        <v>0</v>
      </c>
      <c r="J38">
        <v>-1.7689999999999999</v>
      </c>
      <c r="K38">
        <v>0</v>
      </c>
      <c r="L38">
        <v>1</v>
      </c>
      <c r="M38">
        <v>4</v>
      </c>
    </row>
    <row r="39" spans="1:13" x14ac:dyDescent="0.3">
      <c r="A39">
        <v>400021477</v>
      </c>
      <c r="B39" t="s">
        <v>74</v>
      </c>
      <c r="C39" t="s">
        <v>47</v>
      </c>
      <c r="D39" t="s">
        <v>52</v>
      </c>
      <c r="E39">
        <v>122.66</v>
      </c>
      <c r="F39">
        <v>0</v>
      </c>
      <c r="G39">
        <v>-0.5</v>
      </c>
      <c r="H39">
        <v>-0.5</v>
      </c>
      <c r="I39">
        <v>0</v>
      </c>
      <c r="J39">
        <v>-2.718</v>
      </c>
      <c r="K39">
        <v>1</v>
      </c>
      <c r="L39">
        <v>1</v>
      </c>
      <c r="M39">
        <v>0</v>
      </c>
    </row>
    <row r="40" spans="1:13" x14ac:dyDescent="0.3">
      <c r="A40">
        <v>400021487</v>
      </c>
      <c r="B40" t="s">
        <v>74</v>
      </c>
      <c r="C40" t="s">
        <v>50</v>
      </c>
      <c r="D40" t="s">
        <v>46</v>
      </c>
      <c r="E40">
        <v>301.95999999999998</v>
      </c>
      <c r="F40">
        <v>0</v>
      </c>
      <c r="G40">
        <v>0.5</v>
      </c>
      <c r="H40">
        <v>0.5</v>
      </c>
      <c r="I40">
        <v>0</v>
      </c>
      <c r="J40">
        <v>-0.93400000000000005</v>
      </c>
      <c r="K40">
        <v>0</v>
      </c>
      <c r="L40">
        <v>1</v>
      </c>
      <c r="M40">
        <v>0</v>
      </c>
    </row>
    <row r="41" spans="1:13" x14ac:dyDescent="0.3">
      <c r="A41">
        <v>400021480</v>
      </c>
      <c r="B41" t="s">
        <v>75</v>
      </c>
      <c r="C41" t="s">
        <v>53</v>
      </c>
      <c r="D41" t="s">
        <v>48</v>
      </c>
      <c r="E41">
        <v>-286.79000000000002</v>
      </c>
      <c r="F41">
        <v>0</v>
      </c>
      <c r="G41">
        <v>0.5</v>
      </c>
      <c r="H41">
        <v>0.5</v>
      </c>
      <c r="I41">
        <v>0</v>
      </c>
      <c r="J41">
        <v>-0.79200000000000004</v>
      </c>
      <c r="K41">
        <v>-1</v>
      </c>
      <c r="L41">
        <v>0</v>
      </c>
      <c r="M41">
        <v>-2</v>
      </c>
    </row>
    <row r="42" spans="1:13" x14ac:dyDescent="0.3">
      <c r="A42">
        <v>400021494</v>
      </c>
      <c r="B42" t="s">
        <v>75</v>
      </c>
      <c r="C42" t="s">
        <v>59</v>
      </c>
      <c r="D42" t="s">
        <v>61</v>
      </c>
      <c r="E42">
        <v>279.87</v>
      </c>
      <c r="F42">
        <v>0</v>
      </c>
      <c r="G42">
        <v>0</v>
      </c>
      <c r="H42">
        <v>-0.5</v>
      </c>
      <c r="I42">
        <v>0</v>
      </c>
      <c r="J42">
        <v>0.50700000000000001</v>
      </c>
      <c r="K42">
        <v>0</v>
      </c>
      <c r="L42">
        <v>0</v>
      </c>
      <c r="M42">
        <v>2</v>
      </c>
    </row>
    <row r="43" spans="1:13" x14ac:dyDescent="0.3">
      <c r="A43">
        <v>400021492</v>
      </c>
      <c r="B43" t="s">
        <v>75</v>
      </c>
      <c r="C43" t="s">
        <v>54</v>
      </c>
      <c r="D43" t="s">
        <v>56</v>
      </c>
      <c r="E43">
        <v>424.42</v>
      </c>
      <c r="F43">
        <v>0</v>
      </c>
      <c r="G43">
        <v>1</v>
      </c>
      <c r="H43">
        <v>-1.5</v>
      </c>
      <c r="I43">
        <v>1.5</v>
      </c>
      <c r="J43">
        <v>8.5999999999999993E-2</v>
      </c>
      <c r="K43">
        <v>0</v>
      </c>
      <c r="L43">
        <v>1</v>
      </c>
      <c r="M43">
        <v>3</v>
      </c>
    </row>
    <row r="44" spans="1:13" x14ac:dyDescent="0.3">
      <c r="A44">
        <v>400021491</v>
      </c>
      <c r="B44" t="s">
        <v>76</v>
      </c>
      <c r="C44" t="s">
        <v>57</v>
      </c>
      <c r="D44" t="s">
        <v>55</v>
      </c>
      <c r="E44">
        <v>-126.63</v>
      </c>
      <c r="F44">
        <v>0</v>
      </c>
      <c r="G44">
        <v>1.5</v>
      </c>
      <c r="H44">
        <v>-1</v>
      </c>
      <c r="I44">
        <v>1.5</v>
      </c>
      <c r="J44">
        <v>-0.28299999999999997</v>
      </c>
      <c r="K44">
        <v>0</v>
      </c>
      <c r="L44">
        <v>1</v>
      </c>
      <c r="M44">
        <v>1</v>
      </c>
    </row>
    <row r="45" spans="1:13" x14ac:dyDescent="0.3">
      <c r="A45">
        <v>400021499</v>
      </c>
      <c r="B45" t="s">
        <v>76</v>
      </c>
      <c r="C45" t="s">
        <v>62</v>
      </c>
      <c r="D45" t="s">
        <v>60</v>
      </c>
      <c r="E45">
        <v>-183.29</v>
      </c>
      <c r="F45">
        <v>0</v>
      </c>
      <c r="G45">
        <v>0.5</v>
      </c>
      <c r="H45">
        <v>0</v>
      </c>
      <c r="I45">
        <v>0</v>
      </c>
      <c r="J45">
        <v>1.6080000000000001</v>
      </c>
      <c r="K45">
        <v>0</v>
      </c>
      <c r="L45">
        <v>0</v>
      </c>
      <c r="M45">
        <v>-1</v>
      </c>
    </row>
    <row r="46" spans="1:13" x14ac:dyDescent="0.3">
      <c r="A46">
        <v>400021503</v>
      </c>
      <c r="B46" t="s">
        <v>76</v>
      </c>
      <c r="C46" t="s">
        <v>63</v>
      </c>
      <c r="D46" t="s">
        <v>70</v>
      </c>
      <c r="E46">
        <v>309.12</v>
      </c>
      <c r="F46">
        <v>0</v>
      </c>
      <c r="G46">
        <v>0</v>
      </c>
      <c r="H46">
        <v>-1</v>
      </c>
      <c r="I46">
        <v>0.5</v>
      </c>
      <c r="J46">
        <v>-0.17799999999999999</v>
      </c>
      <c r="K46">
        <v>1</v>
      </c>
      <c r="L46">
        <v>1</v>
      </c>
      <c r="M46">
        <v>5</v>
      </c>
    </row>
    <row r="47" spans="1:13" x14ac:dyDescent="0.3">
      <c r="A47">
        <v>400021506</v>
      </c>
      <c r="B47" t="s">
        <v>76</v>
      </c>
      <c r="C47" t="s">
        <v>65</v>
      </c>
      <c r="D47" t="s">
        <v>67</v>
      </c>
      <c r="E47">
        <v>481.14</v>
      </c>
      <c r="F47">
        <v>0</v>
      </c>
      <c r="G47">
        <v>1.5</v>
      </c>
      <c r="H47">
        <v>1</v>
      </c>
      <c r="I47">
        <v>0</v>
      </c>
      <c r="J47">
        <v>0.29799999999999999</v>
      </c>
      <c r="K47">
        <v>0</v>
      </c>
      <c r="L47">
        <v>1</v>
      </c>
      <c r="M47">
        <v>0</v>
      </c>
    </row>
    <row r="48" spans="1:13" x14ac:dyDescent="0.3">
      <c r="A48">
        <v>400021511</v>
      </c>
      <c r="B48" t="s">
        <v>76</v>
      </c>
      <c r="C48" t="s">
        <v>68</v>
      </c>
      <c r="D48" t="s">
        <v>66</v>
      </c>
      <c r="E48">
        <v>-175.71</v>
      </c>
      <c r="F48">
        <v>0</v>
      </c>
      <c r="G48">
        <v>-1</v>
      </c>
      <c r="H48">
        <v>-1.5</v>
      </c>
      <c r="I48">
        <v>0</v>
      </c>
      <c r="J48">
        <v>2.0979999999999999</v>
      </c>
      <c r="K48">
        <v>0</v>
      </c>
      <c r="L48">
        <v>-1</v>
      </c>
      <c r="M48">
        <v>-1</v>
      </c>
    </row>
    <row r="49" spans="1:13" x14ac:dyDescent="0.3">
      <c r="A49">
        <v>400021501</v>
      </c>
      <c r="B49" t="s">
        <v>77</v>
      </c>
      <c r="C49" t="s">
        <v>71</v>
      </c>
      <c r="D49" t="s">
        <v>64</v>
      </c>
      <c r="E49">
        <v>223.92</v>
      </c>
      <c r="F49">
        <v>0</v>
      </c>
      <c r="G49">
        <v>1</v>
      </c>
      <c r="H49">
        <v>0</v>
      </c>
      <c r="I49">
        <v>1</v>
      </c>
      <c r="J49">
        <v>1.0209999999999999</v>
      </c>
      <c r="K49">
        <v>-1</v>
      </c>
      <c r="L49">
        <v>1</v>
      </c>
      <c r="M49">
        <v>1</v>
      </c>
    </row>
    <row r="50" spans="1:13" x14ac:dyDescent="0.3">
      <c r="A50">
        <v>400021448</v>
      </c>
      <c r="B50" t="s">
        <v>77</v>
      </c>
      <c r="C50" t="s">
        <v>23</v>
      </c>
      <c r="D50" t="s">
        <v>27</v>
      </c>
      <c r="E50">
        <v>-63.09</v>
      </c>
      <c r="F50">
        <v>0</v>
      </c>
      <c r="G50">
        <v>0.33329999999999999</v>
      </c>
      <c r="H50">
        <v>-0.66669999999999996</v>
      </c>
      <c r="I50">
        <v>0</v>
      </c>
      <c r="J50">
        <v>-3.0510000000000002</v>
      </c>
      <c r="K50">
        <v>0</v>
      </c>
      <c r="L50">
        <v>1</v>
      </c>
      <c r="M50">
        <v>2</v>
      </c>
    </row>
    <row r="51" spans="1:13" x14ac:dyDescent="0.3">
      <c r="A51">
        <v>400021451</v>
      </c>
      <c r="B51" t="s">
        <v>77</v>
      </c>
      <c r="C51" t="s">
        <v>28</v>
      </c>
      <c r="D51" t="s">
        <v>22</v>
      </c>
      <c r="E51">
        <v>90.58</v>
      </c>
      <c r="F51">
        <v>-1</v>
      </c>
      <c r="G51">
        <v>-0.66669999999999996</v>
      </c>
      <c r="H51">
        <v>0.33329999999999999</v>
      </c>
      <c r="I51">
        <v>0</v>
      </c>
      <c r="J51">
        <v>1.3340000000000001</v>
      </c>
      <c r="K51">
        <v>0</v>
      </c>
      <c r="L51">
        <v>1</v>
      </c>
      <c r="M51">
        <v>1</v>
      </c>
    </row>
    <row r="52" spans="1:13" x14ac:dyDescent="0.3">
      <c r="A52">
        <v>400021452</v>
      </c>
      <c r="B52" t="s">
        <v>77</v>
      </c>
      <c r="C52" t="s">
        <v>30</v>
      </c>
      <c r="D52" t="s">
        <v>32</v>
      </c>
      <c r="E52">
        <v>462</v>
      </c>
      <c r="F52">
        <v>0</v>
      </c>
      <c r="G52">
        <v>0.66669999999999996</v>
      </c>
      <c r="H52">
        <v>-1</v>
      </c>
      <c r="I52">
        <v>1.3332999999999999</v>
      </c>
      <c r="J52">
        <v>-0.90900000000000003</v>
      </c>
      <c r="K52">
        <v>1</v>
      </c>
      <c r="L52">
        <v>0</v>
      </c>
      <c r="M52">
        <v>2</v>
      </c>
    </row>
    <row r="53" spans="1:13" x14ac:dyDescent="0.3">
      <c r="A53">
        <v>400021455</v>
      </c>
      <c r="B53" t="s">
        <v>77</v>
      </c>
      <c r="C53" t="s">
        <v>33</v>
      </c>
      <c r="D53" t="s">
        <v>29</v>
      </c>
      <c r="E53">
        <v>-262.52</v>
      </c>
      <c r="F53">
        <v>0</v>
      </c>
      <c r="G53">
        <v>-1</v>
      </c>
      <c r="H53">
        <v>0</v>
      </c>
      <c r="I53">
        <v>-0.33329999999999999</v>
      </c>
      <c r="J53">
        <v>-0.161</v>
      </c>
      <c r="K53">
        <v>1</v>
      </c>
      <c r="L53">
        <v>0</v>
      </c>
      <c r="M53">
        <v>-3</v>
      </c>
    </row>
    <row r="54" spans="1:13" x14ac:dyDescent="0.3">
      <c r="A54">
        <v>400021445</v>
      </c>
      <c r="B54" t="s">
        <v>78</v>
      </c>
      <c r="C54" t="s">
        <v>16</v>
      </c>
      <c r="D54" t="s">
        <v>20</v>
      </c>
      <c r="E54">
        <v>-163.25</v>
      </c>
      <c r="F54">
        <v>0</v>
      </c>
      <c r="G54">
        <v>-0.33329999999999999</v>
      </c>
      <c r="H54">
        <v>0.33329999999999999</v>
      </c>
      <c r="I54">
        <v>-0.66669999999999996</v>
      </c>
      <c r="J54">
        <v>-1.2569999999999999</v>
      </c>
      <c r="K54">
        <v>1</v>
      </c>
      <c r="L54">
        <v>0</v>
      </c>
      <c r="M54">
        <v>1</v>
      </c>
    </row>
    <row r="55" spans="1:13" x14ac:dyDescent="0.3">
      <c r="A55">
        <v>400021444</v>
      </c>
      <c r="B55" t="s">
        <v>78</v>
      </c>
      <c r="C55" t="s">
        <v>21</v>
      </c>
      <c r="D55" t="s">
        <v>15</v>
      </c>
      <c r="E55">
        <v>-181.74</v>
      </c>
      <c r="F55">
        <v>-1</v>
      </c>
      <c r="G55">
        <v>-0.33329999999999999</v>
      </c>
      <c r="H55">
        <v>1</v>
      </c>
      <c r="I55">
        <v>-1.6667000000000001</v>
      </c>
      <c r="J55">
        <v>-0.28000000000000003</v>
      </c>
      <c r="K55">
        <v>1</v>
      </c>
      <c r="L55">
        <v>1</v>
      </c>
      <c r="M55">
        <v>-3</v>
      </c>
    </row>
    <row r="56" spans="1:13" x14ac:dyDescent="0.3">
      <c r="A56">
        <v>400021468</v>
      </c>
      <c r="B56" t="s">
        <v>78</v>
      </c>
      <c r="C56" t="s">
        <v>37</v>
      </c>
      <c r="D56" t="s">
        <v>40</v>
      </c>
      <c r="E56">
        <v>-246.1</v>
      </c>
      <c r="F56">
        <v>0</v>
      </c>
      <c r="G56">
        <v>-0.33329999999999999</v>
      </c>
      <c r="H56">
        <v>1.6667000000000001</v>
      </c>
      <c r="I56">
        <v>-0.66669999999999996</v>
      </c>
      <c r="J56">
        <v>2.1720000000000002</v>
      </c>
      <c r="K56">
        <v>-1</v>
      </c>
      <c r="L56">
        <v>0</v>
      </c>
      <c r="M56">
        <v>-2</v>
      </c>
    </row>
    <row r="57" spans="1:13" x14ac:dyDescent="0.3">
      <c r="A57">
        <v>400021466</v>
      </c>
      <c r="B57" t="s">
        <v>78</v>
      </c>
      <c r="C57" t="s">
        <v>41</v>
      </c>
      <c r="D57" t="s">
        <v>36</v>
      </c>
      <c r="E57">
        <v>-137.25</v>
      </c>
      <c r="F57">
        <v>0</v>
      </c>
      <c r="G57">
        <v>-3</v>
      </c>
      <c r="H57">
        <v>-0.33329999999999999</v>
      </c>
      <c r="I57">
        <v>-1.6667000000000001</v>
      </c>
      <c r="J57">
        <v>-1.9690000000000001</v>
      </c>
      <c r="K57">
        <v>-1</v>
      </c>
      <c r="L57">
        <v>0</v>
      </c>
      <c r="M57">
        <v>1</v>
      </c>
    </row>
    <row r="58" spans="1:13" x14ac:dyDescent="0.3">
      <c r="A58">
        <v>400021473</v>
      </c>
      <c r="B58" t="s">
        <v>78</v>
      </c>
      <c r="C58" t="s">
        <v>44</v>
      </c>
      <c r="D58" t="s">
        <v>38</v>
      </c>
      <c r="E58">
        <v>-277.16000000000003</v>
      </c>
      <c r="F58">
        <v>0</v>
      </c>
      <c r="G58">
        <v>-2</v>
      </c>
      <c r="H58">
        <v>2</v>
      </c>
      <c r="I58">
        <v>-1.3332999999999999</v>
      </c>
      <c r="J58">
        <v>-1.1299999999999999</v>
      </c>
      <c r="K58">
        <v>-1</v>
      </c>
      <c r="L58">
        <v>-1</v>
      </c>
      <c r="M58">
        <v>-2</v>
      </c>
    </row>
    <row r="59" spans="1:13" x14ac:dyDescent="0.3">
      <c r="A59">
        <v>400021471</v>
      </c>
      <c r="B59" t="s">
        <v>78</v>
      </c>
      <c r="C59" t="s">
        <v>39</v>
      </c>
      <c r="D59" t="s">
        <v>43</v>
      </c>
      <c r="E59">
        <v>151.79</v>
      </c>
      <c r="F59">
        <v>0</v>
      </c>
      <c r="G59">
        <v>0</v>
      </c>
      <c r="H59">
        <v>-1.3332999999999999</v>
      </c>
      <c r="I59">
        <v>0.33329999999999999</v>
      </c>
      <c r="J59">
        <v>-6.2E-2</v>
      </c>
      <c r="K59">
        <v>-1</v>
      </c>
      <c r="L59">
        <v>-1</v>
      </c>
      <c r="M59">
        <v>0</v>
      </c>
    </row>
    <row r="60" spans="1:13" x14ac:dyDescent="0.3">
      <c r="A60">
        <v>400021461</v>
      </c>
      <c r="B60" t="s">
        <v>79</v>
      </c>
      <c r="C60" t="s">
        <v>26</v>
      </c>
      <c r="D60" t="s">
        <v>34</v>
      </c>
      <c r="E60">
        <v>-73.989999999999995</v>
      </c>
      <c r="F60">
        <v>0</v>
      </c>
      <c r="G60">
        <v>0</v>
      </c>
      <c r="H60">
        <v>0.66669999999999996</v>
      </c>
      <c r="I60">
        <v>0</v>
      </c>
      <c r="J60">
        <v>1.643</v>
      </c>
      <c r="K60">
        <v>-1</v>
      </c>
      <c r="L60">
        <v>1</v>
      </c>
      <c r="M60">
        <v>0</v>
      </c>
    </row>
    <row r="61" spans="1:13" x14ac:dyDescent="0.3">
      <c r="A61">
        <v>400021459</v>
      </c>
      <c r="B61" t="s">
        <v>79</v>
      </c>
      <c r="C61" t="s">
        <v>35</v>
      </c>
      <c r="D61" t="s">
        <v>25</v>
      </c>
      <c r="E61">
        <v>-65.5</v>
      </c>
      <c r="F61">
        <v>-1</v>
      </c>
      <c r="G61">
        <v>-2</v>
      </c>
      <c r="H61">
        <v>0.66669999999999996</v>
      </c>
      <c r="I61">
        <v>-2</v>
      </c>
      <c r="J61">
        <v>0.76700000000000002</v>
      </c>
      <c r="K61">
        <v>-1</v>
      </c>
      <c r="L61">
        <v>1</v>
      </c>
      <c r="M61">
        <v>1</v>
      </c>
    </row>
    <row r="62" spans="1:13" x14ac:dyDescent="0.3">
      <c r="A62">
        <v>400021493</v>
      </c>
      <c r="B62" t="s">
        <v>79</v>
      </c>
      <c r="C62" t="s">
        <v>55</v>
      </c>
      <c r="D62" t="s">
        <v>56</v>
      </c>
      <c r="E62">
        <v>237.79</v>
      </c>
      <c r="F62">
        <v>0</v>
      </c>
      <c r="G62">
        <v>0.66669999999999996</v>
      </c>
      <c r="H62">
        <v>-0.33329999999999999</v>
      </c>
      <c r="I62">
        <v>0</v>
      </c>
      <c r="J62">
        <v>0.17199999999999999</v>
      </c>
      <c r="K62">
        <v>-1</v>
      </c>
      <c r="L62">
        <v>0</v>
      </c>
      <c r="M62">
        <v>5</v>
      </c>
    </row>
    <row r="63" spans="1:13" x14ac:dyDescent="0.3">
      <c r="A63">
        <v>400021489</v>
      </c>
      <c r="B63" t="s">
        <v>79</v>
      </c>
      <c r="C63" t="s">
        <v>57</v>
      </c>
      <c r="D63" t="s">
        <v>54</v>
      </c>
      <c r="E63">
        <v>-313.26</v>
      </c>
      <c r="F63">
        <v>0</v>
      </c>
      <c r="G63">
        <v>0.33329999999999999</v>
      </c>
      <c r="H63">
        <v>0.66669999999999996</v>
      </c>
      <c r="I63">
        <v>0</v>
      </c>
      <c r="J63">
        <v>-0.19700000000000001</v>
      </c>
      <c r="K63">
        <v>-1</v>
      </c>
      <c r="L63">
        <v>0</v>
      </c>
      <c r="M63">
        <v>-3</v>
      </c>
    </row>
    <row r="64" spans="1:13" x14ac:dyDescent="0.3">
      <c r="A64">
        <v>400021484</v>
      </c>
      <c r="B64" t="s">
        <v>80</v>
      </c>
      <c r="C64" t="s">
        <v>50</v>
      </c>
      <c r="D64" t="s">
        <v>45</v>
      </c>
      <c r="E64">
        <v>-201.64</v>
      </c>
      <c r="F64">
        <v>0</v>
      </c>
      <c r="G64">
        <v>-0.33329999999999999</v>
      </c>
      <c r="H64">
        <v>1</v>
      </c>
      <c r="I64">
        <v>-0.66669999999999996</v>
      </c>
      <c r="J64">
        <v>1.9950000000000001</v>
      </c>
      <c r="K64">
        <v>0</v>
      </c>
      <c r="L64">
        <v>0</v>
      </c>
      <c r="M64">
        <v>-1</v>
      </c>
    </row>
    <row r="65" spans="1:13" x14ac:dyDescent="0.3">
      <c r="A65">
        <v>400021485</v>
      </c>
      <c r="B65" t="s">
        <v>80</v>
      </c>
      <c r="C65" t="s">
        <v>46</v>
      </c>
      <c r="D65" t="s">
        <v>49</v>
      </c>
      <c r="E65">
        <v>-52.77</v>
      </c>
      <c r="F65">
        <v>0</v>
      </c>
      <c r="G65">
        <v>0.33329999999999999</v>
      </c>
      <c r="H65">
        <v>-1</v>
      </c>
      <c r="I65">
        <v>0.33329999999999999</v>
      </c>
      <c r="J65">
        <v>1.1599999999999999</v>
      </c>
      <c r="K65">
        <v>0</v>
      </c>
      <c r="L65">
        <v>0</v>
      </c>
      <c r="M65">
        <v>0</v>
      </c>
    </row>
    <row r="66" spans="1:13" x14ac:dyDescent="0.3">
      <c r="A66">
        <v>400021481</v>
      </c>
      <c r="B66" t="s">
        <v>80</v>
      </c>
      <c r="C66" t="s">
        <v>53</v>
      </c>
      <c r="D66" t="s">
        <v>47</v>
      </c>
      <c r="E66">
        <v>-466.66</v>
      </c>
      <c r="F66">
        <v>0</v>
      </c>
      <c r="G66">
        <v>0.66669999999999996</v>
      </c>
      <c r="H66">
        <v>1.3332999999999999</v>
      </c>
      <c r="I66">
        <v>-0.33329999999999999</v>
      </c>
      <c r="J66">
        <v>0.65300000000000002</v>
      </c>
      <c r="K66">
        <v>-1</v>
      </c>
      <c r="L66">
        <v>-1</v>
      </c>
      <c r="M66">
        <v>-4</v>
      </c>
    </row>
    <row r="67" spans="1:13" x14ac:dyDescent="0.3">
      <c r="A67">
        <v>400021479</v>
      </c>
      <c r="B67" t="s">
        <v>80</v>
      </c>
      <c r="C67" t="s">
        <v>48</v>
      </c>
      <c r="D67" t="s">
        <v>52</v>
      </c>
      <c r="E67">
        <v>-57.21</v>
      </c>
      <c r="F67">
        <v>0</v>
      </c>
      <c r="G67">
        <v>0.66669999999999996</v>
      </c>
      <c r="H67">
        <v>0</v>
      </c>
      <c r="I67">
        <v>0.66669999999999996</v>
      </c>
      <c r="J67">
        <v>-1.274</v>
      </c>
      <c r="K67">
        <v>-1</v>
      </c>
      <c r="L67">
        <v>0</v>
      </c>
      <c r="M67">
        <v>0</v>
      </c>
    </row>
    <row r="68" spans="1:13" x14ac:dyDescent="0.3">
      <c r="A68">
        <v>400021508</v>
      </c>
      <c r="B68" t="s">
        <v>80</v>
      </c>
      <c r="C68" t="s">
        <v>68</v>
      </c>
      <c r="D68" t="s">
        <v>65</v>
      </c>
      <c r="E68">
        <v>-288.86</v>
      </c>
      <c r="F68">
        <v>0</v>
      </c>
      <c r="G68">
        <v>-1.3332999999999999</v>
      </c>
      <c r="H68">
        <v>0</v>
      </c>
      <c r="I68">
        <v>-1.3332999999999999</v>
      </c>
      <c r="J68">
        <v>3.153</v>
      </c>
      <c r="K68">
        <v>0</v>
      </c>
      <c r="L68">
        <v>-1</v>
      </c>
      <c r="M68">
        <v>-2</v>
      </c>
    </row>
    <row r="69" spans="1:13" x14ac:dyDescent="0.3">
      <c r="A69">
        <v>400021509</v>
      </c>
      <c r="B69" t="s">
        <v>80</v>
      </c>
      <c r="C69" t="s">
        <v>66</v>
      </c>
      <c r="D69" t="s">
        <v>67</v>
      </c>
      <c r="E69">
        <v>367.99</v>
      </c>
      <c r="F69">
        <v>0</v>
      </c>
      <c r="G69">
        <v>0.66669999999999996</v>
      </c>
      <c r="H69">
        <v>1.3332999999999999</v>
      </c>
      <c r="I69">
        <v>-0.33329999999999999</v>
      </c>
      <c r="J69">
        <v>1.3540000000000001</v>
      </c>
      <c r="K69">
        <v>0</v>
      </c>
      <c r="L69">
        <v>1</v>
      </c>
      <c r="M69">
        <v>1</v>
      </c>
    </row>
    <row r="70" spans="1:13" x14ac:dyDescent="0.3">
      <c r="A70">
        <v>400021500</v>
      </c>
      <c r="B70" t="s">
        <v>80</v>
      </c>
      <c r="C70" t="s">
        <v>64</v>
      </c>
      <c r="D70" t="s">
        <v>70</v>
      </c>
      <c r="E70">
        <v>15.7</v>
      </c>
      <c r="F70">
        <v>0</v>
      </c>
      <c r="G70">
        <v>0</v>
      </c>
      <c r="H70">
        <v>-2</v>
      </c>
      <c r="I70">
        <v>0.33329999999999999</v>
      </c>
      <c r="J70">
        <v>0.85499999999999998</v>
      </c>
      <c r="K70">
        <v>-1</v>
      </c>
      <c r="L70">
        <v>0</v>
      </c>
      <c r="M70">
        <v>2</v>
      </c>
    </row>
    <row r="71" spans="1:13" x14ac:dyDescent="0.3">
      <c r="A71">
        <v>400021505</v>
      </c>
      <c r="B71" t="s">
        <v>80</v>
      </c>
      <c r="C71" t="s">
        <v>71</v>
      </c>
      <c r="D71" t="s">
        <v>63</v>
      </c>
      <c r="E71">
        <v>-69.5</v>
      </c>
      <c r="F71">
        <v>0</v>
      </c>
      <c r="G71">
        <v>-0.66669999999999996</v>
      </c>
      <c r="H71">
        <v>0</v>
      </c>
      <c r="I71">
        <v>0.66669999999999996</v>
      </c>
      <c r="J71">
        <v>2.0539999999999998</v>
      </c>
      <c r="K71">
        <v>-1</v>
      </c>
      <c r="L71">
        <v>0</v>
      </c>
      <c r="M71">
        <v>0</v>
      </c>
    </row>
    <row r="72" spans="1:13" x14ac:dyDescent="0.3">
      <c r="A72">
        <v>400021497</v>
      </c>
      <c r="B72" t="s">
        <v>81</v>
      </c>
      <c r="C72" t="s">
        <v>60</v>
      </c>
      <c r="D72" t="s">
        <v>61</v>
      </c>
      <c r="E72">
        <v>-26.37</v>
      </c>
      <c r="F72">
        <v>0</v>
      </c>
      <c r="G72">
        <v>-0.33329999999999999</v>
      </c>
      <c r="H72">
        <v>0.33329999999999999</v>
      </c>
      <c r="I72">
        <v>0</v>
      </c>
      <c r="J72">
        <v>-1.754</v>
      </c>
      <c r="K72">
        <v>-1</v>
      </c>
      <c r="L72">
        <v>-1</v>
      </c>
      <c r="M72">
        <v>0</v>
      </c>
    </row>
    <row r="73" spans="1:13" x14ac:dyDescent="0.3">
      <c r="A73">
        <v>400021495</v>
      </c>
      <c r="B73" t="s">
        <v>81</v>
      </c>
      <c r="C73" t="s">
        <v>62</v>
      </c>
      <c r="D73" t="s">
        <v>59</v>
      </c>
      <c r="E73">
        <v>-489.53</v>
      </c>
      <c r="F73">
        <v>0</v>
      </c>
      <c r="G73">
        <v>-1</v>
      </c>
      <c r="H73">
        <v>1.6667000000000001</v>
      </c>
      <c r="I73">
        <v>-2</v>
      </c>
      <c r="J73">
        <v>-0.65300000000000002</v>
      </c>
      <c r="K73">
        <v>-1</v>
      </c>
      <c r="L73">
        <v>-1</v>
      </c>
      <c r="M73">
        <v>-2</v>
      </c>
    </row>
    <row r="74" spans="1:13" x14ac:dyDescent="0.3">
      <c r="A74">
        <v>400021518</v>
      </c>
      <c r="B74" t="s">
        <v>81</v>
      </c>
      <c r="C74" t="s">
        <v>16</v>
      </c>
      <c r="D74" t="s">
        <v>22</v>
      </c>
      <c r="E74">
        <v>-131.1</v>
      </c>
      <c r="F74">
        <v>0</v>
      </c>
      <c r="G74">
        <v>-1.5</v>
      </c>
      <c r="H74">
        <v>0</v>
      </c>
      <c r="I74">
        <v>0</v>
      </c>
      <c r="J74">
        <v>-0.16400000000000001</v>
      </c>
      <c r="K74">
        <v>-1</v>
      </c>
      <c r="L74">
        <v>0</v>
      </c>
      <c r="M74">
        <v>-1</v>
      </c>
    </row>
    <row r="75" spans="1:13" x14ac:dyDescent="0.3">
      <c r="A75">
        <v>400021516</v>
      </c>
      <c r="B75" t="s">
        <v>82</v>
      </c>
      <c r="C75" t="s">
        <v>29</v>
      </c>
      <c r="D75" t="s">
        <v>39</v>
      </c>
      <c r="E75">
        <v>104.28</v>
      </c>
      <c r="F75">
        <v>0</v>
      </c>
      <c r="G75">
        <v>0</v>
      </c>
      <c r="H75">
        <v>-0.5</v>
      </c>
      <c r="I75">
        <v>0.5</v>
      </c>
      <c r="J75">
        <v>1.8680000000000001</v>
      </c>
      <c r="K75">
        <v>1</v>
      </c>
      <c r="L75">
        <v>1</v>
      </c>
      <c r="M75">
        <v>1</v>
      </c>
    </row>
    <row r="76" spans="1:13" x14ac:dyDescent="0.3">
      <c r="A76">
        <v>400021513</v>
      </c>
      <c r="B76" t="s">
        <v>82</v>
      </c>
      <c r="C76" t="s">
        <v>36</v>
      </c>
      <c r="D76" t="s">
        <v>26</v>
      </c>
      <c r="E76">
        <v>230.42</v>
      </c>
      <c r="F76">
        <v>0</v>
      </c>
      <c r="G76">
        <v>2</v>
      </c>
      <c r="H76">
        <v>0</v>
      </c>
      <c r="I76">
        <v>0.5</v>
      </c>
      <c r="J76">
        <v>-0.95599999999999996</v>
      </c>
      <c r="K76">
        <v>1</v>
      </c>
      <c r="L76">
        <v>0</v>
      </c>
      <c r="M76">
        <v>0</v>
      </c>
    </row>
    <row r="77" spans="1:13" x14ac:dyDescent="0.3">
      <c r="A77">
        <v>400021522</v>
      </c>
      <c r="B77" t="s">
        <v>83</v>
      </c>
      <c r="C77" t="s">
        <v>38</v>
      </c>
      <c r="D77" t="s">
        <v>30</v>
      </c>
      <c r="E77">
        <v>-1.53</v>
      </c>
      <c r="F77">
        <v>0</v>
      </c>
      <c r="G77">
        <v>1</v>
      </c>
      <c r="H77">
        <v>0.25</v>
      </c>
      <c r="I77">
        <v>0</v>
      </c>
      <c r="J77">
        <v>1.175</v>
      </c>
      <c r="K77">
        <v>-1</v>
      </c>
      <c r="L77">
        <v>1</v>
      </c>
      <c r="M77">
        <v>0</v>
      </c>
    </row>
    <row r="78" spans="1:13" x14ac:dyDescent="0.3">
      <c r="A78">
        <v>400021514</v>
      </c>
      <c r="B78" t="s">
        <v>83</v>
      </c>
      <c r="C78" t="s">
        <v>40</v>
      </c>
      <c r="D78" t="s">
        <v>57</v>
      </c>
      <c r="E78">
        <v>-16.57</v>
      </c>
      <c r="F78">
        <v>0</v>
      </c>
      <c r="G78">
        <v>-1</v>
      </c>
      <c r="H78">
        <v>-1.25</v>
      </c>
      <c r="I78">
        <v>0</v>
      </c>
      <c r="J78">
        <v>-0.95499999999999996</v>
      </c>
      <c r="K78">
        <v>1</v>
      </c>
      <c r="L78">
        <v>-1</v>
      </c>
      <c r="M78">
        <v>-1</v>
      </c>
    </row>
    <row r="79" spans="1:13" x14ac:dyDescent="0.3">
      <c r="A79">
        <v>400021523</v>
      </c>
      <c r="B79" t="s">
        <v>83</v>
      </c>
      <c r="C79" t="s">
        <v>54</v>
      </c>
      <c r="D79" t="s">
        <v>43</v>
      </c>
      <c r="E79">
        <v>360.91</v>
      </c>
      <c r="F79">
        <v>0</v>
      </c>
      <c r="G79">
        <v>0.75</v>
      </c>
      <c r="H79">
        <v>-1.25</v>
      </c>
      <c r="I79">
        <v>1.25</v>
      </c>
      <c r="J79">
        <v>-0.55600000000000005</v>
      </c>
      <c r="K79">
        <v>-1</v>
      </c>
      <c r="L79">
        <v>0</v>
      </c>
      <c r="M79">
        <v>3</v>
      </c>
    </row>
    <row r="80" spans="1:13" x14ac:dyDescent="0.3">
      <c r="A80">
        <v>400021520</v>
      </c>
      <c r="B80" t="s">
        <v>84</v>
      </c>
      <c r="C80" t="s">
        <v>15</v>
      </c>
      <c r="D80" t="s">
        <v>41</v>
      </c>
      <c r="E80">
        <v>88.96</v>
      </c>
      <c r="F80">
        <v>1</v>
      </c>
      <c r="G80">
        <v>1</v>
      </c>
      <c r="H80">
        <v>-0.5</v>
      </c>
      <c r="I80">
        <v>1.25</v>
      </c>
      <c r="J80">
        <v>1.823</v>
      </c>
      <c r="K80">
        <v>0</v>
      </c>
      <c r="L80">
        <v>-1</v>
      </c>
      <c r="M80">
        <v>2</v>
      </c>
    </row>
    <row r="81" spans="1:13" x14ac:dyDescent="0.3">
      <c r="A81">
        <v>400021512</v>
      </c>
      <c r="B81" t="s">
        <v>84</v>
      </c>
      <c r="C81" t="s">
        <v>65</v>
      </c>
      <c r="D81" t="s">
        <v>64</v>
      </c>
      <c r="E81">
        <v>353.59</v>
      </c>
      <c r="F81">
        <v>0</v>
      </c>
      <c r="G81">
        <v>0.5</v>
      </c>
      <c r="H81">
        <v>-0.25</v>
      </c>
      <c r="I81">
        <v>0.75</v>
      </c>
      <c r="J81">
        <v>-1.796</v>
      </c>
      <c r="K81">
        <v>0</v>
      </c>
      <c r="L81">
        <v>1</v>
      </c>
      <c r="M81">
        <v>1</v>
      </c>
    </row>
    <row r="82" spans="1:13" x14ac:dyDescent="0.3">
      <c r="A82">
        <v>400021525</v>
      </c>
      <c r="B82" t="s">
        <v>84</v>
      </c>
      <c r="C82" t="s">
        <v>47</v>
      </c>
      <c r="D82" t="s">
        <v>55</v>
      </c>
      <c r="E82">
        <v>58.17</v>
      </c>
      <c r="F82">
        <v>0</v>
      </c>
      <c r="G82">
        <v>-0.5</v>
      </c>
      <c r="H82">
        <v>-1</v>
      </c>
      <c r="I82">
        <v>0.5</v>
      </c>
      <c r="J82">
        <v>0.52700000000000002</v>
      </c>
      <c r="K82">
        <v>-1</v>
      </c>
      <c r="L82">
        <v>1</v>
      </c>
      <c r="M82">
        <v>1</v>
      </c>
    </row>
    <row r="83" spans="1:13" x14ac:dyDescent="0.3">
      <c r="A83">
        <v>400021524</v>
      </c>
      <c r="B83" t="s">
        <v>85</v>
      </c>
      <c r="C83" t="s">
        <v>25</v>
      </c>
      <c r="D83" t="s">
        <v>23</v>
      </c>
      <c r="E83">
        <v>284.01</v>
      </c>
      <c r="F83">
        <v>1</v>
      </c>
      <c r="G83">
        <v>0.75</v>
      </c>
      <c r="H83">
        <v>-0.5</v>
      </c>
      <c r="I83">
        <v>0.5</v>
      </c>
      <c r="J83">
        <v>0.44800000000000001</v>
      </c>
      <c r="K83">
        <v>-1</v>
      </c>
      <c r="L83">
        <v>-1</v>
      </c>
      <c r="M83">
        <v>2</v>
      </c>
    </row>
    <row r="84" spans="1:13" x14ac:dyDescent="0.3">
      <c r="A84">
        <v>400021519</v>
      </c>
      <c r="B84" t="s">
        <v>85</v>
      </c>
      <c r="C84" t="s">
        <v>45</v>
      </c>
      <c r="D84" t="s">
        <v>61</v>
      </c>
      <c r="E84">
        <v>277.31</v>
      </c>
      <c r="F84">
        <v>0</v>
      </c>
      <c r="G84">
        <v>-0.25</v>
      </c>
      <c r="H84">
        <v>-1.5</v>
      </c>
      <c r="I84">
        <v>0.75</v>
      </c>
      <c r="J84">
        <v>-1.8640000000000001</v>
      </c>
      <c r="K84">
        <v>1</v>
      </c>
      <c r="L84">
        <v>0</v>
      </c>
      <c r="M84">
        <v>3</v>
      </c>
    </row>
    <row r="85" spans="1:13" x14ac:dyDescent="0.3">
      <c r="A85">
        <v>400021526</v>
      </c>
      <c r="B85" t="s">
        <v>85</v>
      </c>
      <c r="C85" t="s">
        <v>63</v>
      </c>
      <c r="D85" t="s">
        <v>66</v>
      </c>
      <c r="E85">
        <v>52.98</v>
      </c>
      <c r="F85">
        <v>0</v>
      </c>
      <c r="G85">
        <v>0.25</v>
      </c>
      <c r="H85">
        <v>-1</v>
      </c>
      <c r="I85">
        <v>-0.25</v>
      </c>
      <c r="J85">
        <v>-0.29299999999999998</v>
      </c>
      <c r="K85">
        <v>0</v>
      </c>
      <c r="L85">
        <v>0</v>
      </c>
      <c r="M85">
        <v>1</v>
      </c>
    </row>
    <row r="86" spans="1:13" x14ac:dyDescent="0.3">
      <c r="A86">
        <v>400021527</v>
      </c>
      <c r="B86" t="s">
        <v>86</v>
      </c>
      <c r="C86" t="s">
        <v>28</v>
      </c>
      <c r="D86" t="s">
        <v>60</v>
      </c>
      <c r="E86">
        <v>79.03</v>
      </c>
      <c r="F86">
        <v>0</v>
      </c>
      <c r="G86">
        <v>0.5</v>
      </c>
      <c r="H86">
        <v>-1</v>
      </c>
      <c r="I86">
        <v>0.75</v>
      </c>
      <c r="J86">
        <v>1.45</v>
      </c>
      <c r="K86">
        <v>2</v>
      </c>
      <c r="L86">
        <v>1</v>
      </c>
      <c r="M86">
        <v>2</v>
      </c>
    </row>
    <row r="87" spans="1:13" x14ac:dyDescent="0.3">
      <c r="A87">
        <v>400021515</v>
      </c>
      <c r="B87" t="s">
        <v>86</v>
      </c>
      <c r="C87" t="s">
        <v>34</v>
      </c>
      <c r="D87" t="s">
        <v>48</v>
      </c>
      <c r="E87">
        <v>16.97</v>
      </c>
      <c r="F87">
        <v>0</v>
      </c>
      <c r="G87">
        <v>-0.75</v>
      </c>
      <c r="H87">
        <v>-0.25</v>
      </c>
      <c r="I87">
        <v>-0.25</v>
      </c>
      <c r="J87">
        <v>-1.6990000000000001</v>
      </c>
      <c r="K87">
        <v>1</v>
      </c>
      <c r="L87">
        <v>0</v>
      </c>
      <c r="M87">
        <v>0</v>
      </c>
    </row>
    <row r="88" spans="1:13" x14ac:dyDescent="0.3">
      <c r="A88">
        <v>400021521</v>
      </c>
      <c r="B88" t="s">
        <v>86</v>
      </c>
      <c r="C88" t="s">
        <v>59</v>
      </c>
      <c r="D88" t="s">
        <v>46</v>
      </c>
      <c r="E88">
        <v>506.16</v>
      </c>
      <c r="F88">
        <v>0</v>
      </c>
      <c r="G88">
        <v>1.5</v>
      </c>
      <c r="H88">
        <v>-0.25</v>
      </c>
      <c r="I88">
        <v>1.5</v>
      </c>
      <c r="J88">
        <v>-0.55800000000000005</v>
      </c>
      <c r="K88">
        <v>-1</v>
      </c>
      <c r="L88">
        <v>1</v>
      </c>
      <c r="M88">
        <v>1</v>
      </c>
    </row>
    <row r="89" spans="1:13" x14ac:dyDescent="0.3">
      <c r="A89">
        <v>400021517</v>
      </c>
      <c r="B89" t="s">
        <v>87</v>
      </c>
      <c r="C89" t="s">
        <v>71</v>
      </c>
      <c r="D89" t="s">
        <v>67</v>
      </c>
      <c r="E89">
        <v>351.47</v>
      </c>
      <c r="F89">
        <v>0</v>
      </c>
      <c r="G89">
        <v>0.5</v>
      </c>
      <c r="H89">
        <v>-0.25</v>
      </c>
      <c r="I89">
        <v>0.75</v>
      </c>
      <c r="J89">
        <v>3.1139999999999999</v>
      </c>
      <c r="K89">
        <v>0</v>
      </c>
      <c r="L89">
        <v>1</v>
      </c>
      <c r="M89">
        <v>1</v>
      </c>
    </row>
    <row r="90" spans="1:13" x14ac:dyDescent="0.3">
      <c r="A90">
        <v>400021530</v>
      </c>
      <c r="B90" t="s">
        <v>87</v>
      </c>
      <c r="C90" t="s">
        <v>22</v>
      </c>
      <c r="D90" t="s">
        <v>30</v>
      </c>
      <c r="E90">
        <v>-195.62</v>
      </c>
      <c r="F90">
        <v>0</v>
      </c>
      <c r="G90">
        <v>0.4</v>
      </c>
      <c r="H90">
        <v>-0.2</v>
      </c>
      <c r="I90">
        <v>-0.2</v>
      </c>
      <c r="J90">
        <v>0.374</v>
      </c>
      <c r="K90">
        <v>2</v>
      </c>
      <c r="L90">
        <v>0</v>
      </c>
      <c r="M90">
        <v>-3</v>
      </c>
    </row>
    <row r="91" spans="1:13" x14ac:dyDescent="0.3">
      <c r="A91">
        <v>400021533</v>
      </c>
      <c r="B91" t="s">
        <v>87</v>
      </c>
      <c r="C91" t="s">
        <v>26</v>
      </c>
      <c r="D91" t="s">
        <v>54</v>
      </c>
      <c r="E91">
        <v>-365.35</v>
      </c>
      <c r="F91">
        <v>0</v>
      </c>
      <c r="G91">
        <v>-2</v>
      </c>
      <c r="H91">
        <v>0.6</v>
      </c>
      <c r="I91">
        <v>-1.4</v>
      </c>
      <c r="J91">
        <v>2.0019999999999998</v>
      </c>
      <c r="K91">
        <v>1</v>
      </c>
      <c r="L91">
        <v>0</v>
      </c>
      <c r="M91">
        <v>-1</v>
      </c>
    </row>
    <row r="92" spans="1:13" x14ac:dyDescent="0.3">
      <c r="A92">
        <v>400021532</v>
      </c>
      <c r="B92" t="s">
        <v>88</v>
      </c>
      <c r="C92" t="s">
        <v>29</v>
      </c>
      <c r="D92" t="s">
        <v>57</v>
      </c>
      <c r="E92">
        <v>208.42</v>
      </c>
      <c r="F92">
        <v>0</v>
      </c>
      <c r="G92">
        <v>-0.2</v>
      </c>
      <c r="H92">
        <v>-1.2</v>
      </c>
      <c r="I92">
        <v>0.2</v>
      </c>
      <c r="J92">
        <v>2.5590000000000002</v>
      </c>
      <c r="K92">
        <v>1</v>
      </c>
      <c r="L92">
        <v>0</v>
      </c>
      <c r="M92">
        <v>-1</v>
      </c>
    </row>
    <row r="93" spans="1:13" x14ac:dyDescent="0.3">
      <c r="A93">
        <v>400021531</v>
      </c>
      <c r="B93" t="s">
        <v>89</v>
      </c>
      <c r="C93" t="s">
        <v>15</v>
      </c>
      <c r="D93" t="s">
        <v>65</v>
      </c>
      <c r="E93">
        <v>-140.54</v>
      </c>
      <c r="F93">
        <v>1</v>
      </c>
      <c r="G93">
        <v>0</v>
      </c>
      <c r="H93">
        <v>-0.6</v>
      </c>
      <c r="I93">
        <v>0.4</v>
      </c>
      <c r="J93">
        <v>0.627</v>
      </c>
      <c r="K93">
        <v>0</v>
      </c>
      <c r="L93">
        <v>-1</v>
      </c>
      <c r="M93">
        <v>-1</v>
      </c>
    </row>
    <row r="94" spans="1:13" x14ac:dyDescent="0.3">
      <c r="A94">
        <v>400021529</v>
      </c>
      <c r="B94" t="s">
        <v>89</v>
      </c>
      <c r="C94" t="s">
        <v>63</v>
      </c>
      <c r="D94" t="s">
        <v>45</v>
      </c>
      <c r="E94">
        <v>-106.86</v>
      </c>
      <c r="F94">
        <v>0</v>
      </c>
      <c r="G94">
        <v>0</v>
      </c>
      <c r="H94">
        <v>0.4</v>
      </c>
      <c r="I94">
        <v>-0.4</v>
      </c>
      <c r="J94">
        <v>1.288</v>
      </c>
      <c r="K94">
        <v>0</v>
      </c>
      <c r="L94">
        <v>0</v>
      </c>
      <c r="M94">
        <v>-1</v>
      </c>
    </row>
    <row r="95" spans="1:13" x14ac:dyDescent="0.3">
      <c r="A95">
        <v>400021534</v>
      </c>
      <c r="B95" t="s">
        <v>90</v>
      </c>
      <c r="C95" t="s">
        <v>25</v>
      </c>
      <c r="D95" t="s">
        <v>47</v>
      </c>
      <c r="E95">
        <v>-71.010000000000005</v>
      </c>
      <c r="F95">
        <v>1</v>
      </c>
      <c r="G95">
        <v>0.2</v>
      </c>
      <c r="H95">
        <v>0</v>
      </c>
      <c r="I95">
        <v>0.2</v>
      </c>
      <c r="J95">
        <v>-0.71</v>
      </c>
      <c r="K95">
        <v>-1</v>
      </c>
      <c r="L95">
        <v>-1</v>
      </c>
      <c r="M95">
        <v>-3</v>
      </c>
    </row>
    <row r="96" spans="1:13" x14ac:dyDescent="0.3">
      <c r="A96">
        <v>400021528</v>
      </c>
      <c r="B96" t="s">
        <v>90</v>
      </c>
      <c r="C96" t="s">
        <v>59</v>
      </c>
      <c r="D96" t="s">
        <v>48</v>
      </c>
      <c r="E96">
        <v>314.89999999999998</v>
      </c>
      <c r="F96">
        <v>0</v>
      </c>
      <c r="G96">
        <v>1</v>
      </c>
      <c r="H96">
        <v>-0.2</v>
      </c>
      <c r="I96">
        <v>1.2</v>
      </c>
      <c r="J96">
        <v>5.8999999999999997E-2</v>
      </c>
      <c r="K96">
        <v>0</v>
      </c>
      <c r="L96">
        <v>1</v>
      </c>
      <c r="M96">
        <v>1</v>
      </c>
    </row>
    <row r="97" spans="1:13" x14ac:dyDescent="0.3">
      <c r="A97">
        <v>400021535</v>
      </c>
      <c r="B97" t="s">
        <v>90</v>
      </c>
      <c r="C97" t="s">
        <v>28</v>
      </c>
      <c r="D97" t="s">
        <v>71</v>
      </c>
      <c r="E97">
        <v>-48.29</v>
      </c>
      <c r="F97">
        <v>0</v>
      </c>
      <c r="G97">
        <v>0.8</v>
      </c>
      <c r="H97">
        <v>0.4</v>
      </c>
      <c r="I97">
        <v>0</v>
      </c>
      <c r="J97">
        <v>-1.782</v>
      </c>
      <c r="K97">
        <v>1</v>
      </c>
      <c r="L97">
        <v>0</v>
      </c>
      <c r="M97">
        <v>0</v>
      </c>
    </row>
    <row r="98" spans="1:13" x14ac:dyDescent="0.3">
      <c r="A98">
        <v>400021536</v>
      </c>
      <c r="B98" t="s">
        <v>91</v>
      </c>
      <c r="C98" t="s">
        <v>54</v>
      </c>
      <c r="D98" t="s">
        <v>30</v>
      </c>
      <c r="E98">
        <v>115.6</v>
      </c>
      <c r="F98">
        <v>0</v>
      </c>
      <c r="G98">
        <v>0.66669999999999996</v>
      </c>
      <c r="H98">
        <v>-0.33329999999999999</v>
      </c>
      <c r="I98">
        <v>0.66669999999999996</v>
      </c>
      <c r="J98">
        <v>0.40200000000000002</v>
      </c>
      <c r="K98">
        <v>0</v>
      </c>
      <c r="L98">
        <v>1</v>
      </c>
      <c r="M98">
        <v>2</v>
      </c>
    </row>
    <row r="99" spans="1:13" x14ac:dyDescent="0.3">
      <c r="A99">
        <v>400021538</v>
      </c>
      <c r="B99" t="s">
        <v>92</v>
      </c>
      <c r="C99" t="s">
        <v>45</v>
      </c>
      <c r="D99" t="s">
        <v>47</v>
      </c>
      <c r="E99">
        <v>132.47</v>
      </c>
      <c r="F99">
        <v>0</v>
      </c>
      <c r="G99">
        <v>-0.66669999999999996</v>
      </c>
      <c r="H99">
        <v>-0.83330000000000004</v>
      </c>
      <c r="I99">
        <v>0.33329999999999999</v>
      </c>
      <c r="J99">
        <v>-0.86699999999999999</v>
      </c>
      <c r="K99">
        <v>1</v>
      </c>
      <c r="L99">
        <v>0</v>
      </c>
      <c r="M99">
        <v>1</v>
      </c>
    </row>
    <row r="100" spans="1:13" x14ac:dyDescent="0.3">
      <c r="A100">
        <v>400021539</v>
      </c>
      <c r="B100" t="s">
        <v>93</v>
      </c>
      <c r="C100" t="s">
        <v>57</v>
      </c>
      <c r="D100" t="s">
        <v>65</v>
      </c>
      <c r="E100">
        <v>-270.58</v>
      </c>
      <c r="F100">
        <v>0</v>
      </c>
      <c r="G100">
        <v>0.16669999999999999</v>
      </c>
      <c r="H100">
        <v>0.66669999999999996</v>
      </c>
      <c r="I100">
        <v>-0.16669999999999999</v>
      </c>
      <c r="J100">
        <v>-0.46899999999999997</v>
      </c>
      <c r="K100">
        <v>1</v>
      </c>
      <c r="L100">
        <v>0</v>
      </c>
      <c r="M100">
        <v>-1</v>
      </c>
    </row>
    <row r="101" spans="1:13" x14ac:dyDescent="0.3">
      <c r="A101">
        <v>400021537</v>
      </c>
      <c r="B101" t="s">
        <v>94</v>
      </c>
      <c r="C101" t="s">
        <v>59</v>
      </c>
      <c r="D101" t="s">
        <v>28</v>
      </c>
      <c r="E101">
        <v>227.21</v>
      </c>
      <c r="F101">
        <v>0</v>
      </c>
      <c r="G101">
        <v>0.83330000000000004</v>
      </c>
      <c r="H101">
        <v>0.33329999999999999</v>
      </c>
      <c r="I101">
        <v>0.66669999999999996</v>
      </c>
      <c r="J101">
        <v>0.81100000000000005</v>
      </c>
      <c r="K101">
        <v>0</v>
      </c>
      <c r="L101">
        <v>0</v>
      </c>
      <c r="M101">
        <v>2</v>
      </c>
    </row>
    <row r="102" spans="1:13" x14ac:dyDescent="0.3">
      <c r="A102">
        <v>400021541</v>
      </c>
      <c r="B102" t="s">
        <v>95</v>
      </c>
      <c r="C102" t="s">
        <v>54</v>
      </c>
      <c r="D102" t="s">
        <v>45</v>
      </c>
      <c r="E102">
        <v>-4.01</v>
      </c>
      <c r="F102">
        <v>0</v>
      </c>
      <c r="G102">
        <v>0.71430000000000005</v>
      </c>
      <c r="H102">
        <v>0.1429</v>
      </c>
      <c r="I102">
        <v>0.28570000000000001</v>
      </c>
      <c r="J102">
        <v>0.254</v>
      </c>
      <c r="K102">
        <v>1</v>
      </c>
      <c r="L102">
        <v>0</v>
      </c>
      <c r="M102">
        <v>-2</v>
      </c>
    </row>
    <row r="103" spans="1:13" x14ac:dyDescent="0.3">
      <c r="A103">
        <v>400021540</v>
      </c>
      <c r="B103" t="s">
        <v>96</v>
      </c>
      <c r="C103" t="s">
        <v>65</v>
      </c>
      <c r="D103" t="s">
        <v>59</v>
      </c>
      <c r="E103">
        <v>-49.25</v>
      </c>
      <c r="F103">
        <v>0</v>
      </c>
      <c r="G103">
        <v>-0.57140000000000002</v>
      </c>
      <c r="H103">
        <v>0</v>
      </c>
      <c r="I103">
        <v>-0.28570000000000001</v>
      </c>
      <c r="J103">
        <v>-1.845</v>
      </c>
      <c r="K103">
        <v>1</v>
      </c>
      <c r="L103">
        <v>0</v>
      </c>
      <c r="M103">
        <v>-1</v>
      </c>
    </row>
    <row r="104" spans="1:13" x14ac:dyDescent="0.3">
      <c r="A104">
        <v>400021542</v>
      </c>
      <c r="B104" t="s">
        <v>97</v>
      </c>
      <c r="C104" t="s">
        <v>54</v>
      </c>
      <c r="D104" t="s">
        <v>65</v>
      </c>
      <c r="E104">
        <v>42.68</v>
      </c>
      <c r="F104">
        <v>0</v>
      </c>
      <c r="G104">
        <v>0.25</v>
      </c>
      <c r="H104">
        <v>-0.5</v>
      </c>
      <c r="I104">
        <v>0.25</v>
      </c>
      <c r="J104">
        <v>-0.27200000000000002</v>
      </c>
      <c r="K104">
        <v>1</v>
      </c>
      <c r="L104">
        <v>0</v>
      </c>
      <c r="M104">
        <v>-2</v>
      </c>
    </row>
    <row r="105" spans="1:13" x14ac:dyDescent="0.3">
      <c r="A105">
        <v>400021543</v>
      </c>
      <c r="B105" t="s">
        <v>98</v>
      </c>
      <c r="C105" t="s">
        <v>45</v>
      </c>
      <c r="D105" t="s">
        <v>59</v>
      </c>
      <c r="E105">
        <v>-2.56</v>
      </c>
      <c r="F105">
        <v>0</v>
      </c>
      <c r="G105">
        <v>-0.75</v>
      </c>
      <c r="H105">
        <v>-0.75</v>
      </c>
      <c r="I105">
        <v>-0.25</v>
      </c>
      <c r="J105">
        <v>-2.371</v>
      </c>
      <c r="K105">
        <v>1</v>
      </c>
      <c r="L105">
        <v>0</v>
      </c>
      <c r="M105">
        <v>1</v>
      </c>
    </row>
  </sheetData>
  <autoFilter ref="A1:M105" xr:uid="{00000000-0009-0000-0000-000002000000}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5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5" customWidth="1"/>
    <col min="2" max="3" width="24" customWidth="1"/>
    <col min="4" max="5" width="12" customWidth="1"/>
  </cols>
  <sheetData>
    <row r="1" spans="1:5" ht="31.95" customHeight="1" x14ac:dyDescent="0.3">
      <c r="A1" s="1" t="s">
        <v>115</v>
      </c>
      <c r="B1" s="1" t="s">
        <v>116</v>
      </c>
      <c r="C1" s="1" t="s">
        <v>117</v>
      </c>
      <c r="D1" s="1" t="s">
        <v>118</v>
      </c>
      <c r="E1" s="1" t="s">
        <v>119</v>
      </c>
    </row>
    <row r="2" spans="1:5" x14ac:dyDescent="0.3">
      <c r="B2" t="s">
        <v>15</v>
      </c>
      <c r="C2" t="s">
        <v>16</v>
      </c>
      <c r="D2">
        <v>2</v>
      </c>
      <c r="E2">
        <v>0</v>
      </c>
    </row>
    <row r="3" spans="1:5" x14ac:dyDescent="0.3">
      <c r="B3" t="s">
        <v>20</v>
      </c>
      <c r="C3" t="s">
        <v>21</v>
      </c>
      <c r="D3">
        <v>2</v>
      </c>
      <c r="E3">
        <v>1</v>
      </c>
    </row>
    <row r="4" spans="1:5" x14ac:dyDescent="0.3">
      <c r="B4" t="s">
        <v>22</v>
      </c>
      <c r="C4" t="s">
        <v>23</v>
      </c>
      <c r="D4">
        <v>1</v>
      </c>
      <c r="E4">
        <v>1</v>
      </c>
    </row>
    <row r="5" spans="1:5" x14ac:dyDescent="0.3">
      <c r="B5" t="s">
        <v>25</v>
      </c>
      <c r="C5" t="s">
        <v>26</v>
      </c>
      <c r="D5">
        <v>4</v>
      </c>
      <c r="E5">
        <v>1</v>
      </c>
    </row>
    <row r="6" spans="1:5" x14ac:dyDescent="0.3">
      <c r="B6" t="s">
        <v>32</v>
      </c>
      <c r="C6" t="s">
        <v>33</v>
      </c>
      <c r="D6">
        <v>0</v>
      </c>
      <c r="E6">
        <v>1</v>
      </c>
    </row>
    <row r="7" spans="1:5" x14ac:dyDescent="0.3">
      <c r="B7" t="s">
        <v>34</v>
      </c>
      <c r="C7" t="s">
        <v>35</v>
      </c>
      <c r="D7">
        <v>2</v>
      </c>
      <c r="E7">
        <v>0</v>
      </c>
    </row>
    <row r="8" spans="1:5" x14ac:dyDescent="0.3">
      <c r="B8" t="s">
        <v>29</v>
      </c>
      <c r="C8" t="s">
        <v>30</v>
      </c>
      <c r="D8">
        <v>1</v>
      </c>
      <c r="E8">
        <v>1</v>
      </c>
    </row>
    <row r="9" spans="1:5" x14ac:dyDescent="0.3">
      <c r="B9" t="s">
        <v>27</v>
      </c>
      <c r="C9" t="s">
        <v>28</v>
      </c>
      <c r="D9">
        <v>1</v>
      </c>
      <c r="E9">
        <v>1</v>
      </c>
    </row>
    <row r="10" spans="1:5" x14ac:dyDescent="0.3">
      <c r="B10" t="s">
        <v>40</v>
      </c>
      <c r="C10" t="s">
        <v>41</v>
      </c>
      <c r="D10">
        <v>1</v>
      </c>
      <c r="E10">
        <v>0</v>
      </c>
    </row>
    <row r="11" spans="1:5" x14ac:dyDescent="0.3">
      <c r="B11" t="s">
        <v>36</v>
      </c>
      <c r="C11" t="s">
        <v>37</v>
      </c>
      <c r="D11">
        <v>7</v>
      </c>
      <c r="E11">
        <v>1</v>
      </c>
    </row>
    <row r="12" spans="1:5" x14ac:dyDescent="0.3">
      <c r="B12" t="s">
        <v>38</v>
      </c>
      <c r="C12" t="s">
        <v>39</v>
      </c>
      <c r="D12">
        <v>2</v>
      </c>
      <c r="E12">
        <v>2</v>
      </c>
    </row>
    <row r="13" spans="1:5" x14ac:dyDescent="0.3">
      <c r="B13" t="s">
        <v>43</v>
      </c>
      <c r="C13" t="s">
        <v>44</v>
      </c>
      <c r="D13">
        <v>5</v>
      </c>
      <c r="E13">
        <v>1</v>
      </c>
    </row>
    <row r="14" spans="1:5" x14ac:dyDescent="0.3">
      <c r="B14" t="s">
        <v>49</v>
      </c>
      <c r="C14" t="s">
        <v>50</v>
      </c>
      <c r="D14">
        <v>1</v>
      </c>
      <c r="E14">
        <v>1</v>
      </c>
    </row>
    <row r="15" spans="1:5" x14ac:dyDescent="0.3">
      <c r="B15" t="s">
        <v>45</v>
      </c>
      <c r="C15" t="s">
        <v>46</v>
      </c>
      <c r="D15">
        <v>0</v>
      </c>
      <c r="E15">
        <v>0</v>
      </c>
    </row>
    <row r="16" spans="1:5" x14ac:dyDescent="0.3">
      <c r="B16" t="s">
        <v>52</v>
      </c>
      <c r="C16" t="s">
        <v>53</v>
      </c>
      <c r="D16">
        <v>2</v>
      </c>
      <c r="E16">
        <v>2</v>
      </c>
    </row>
    <row r="17" spans="2:5" x14ac:dyDescent="0.3">
      <c r="B17" t="s">
        <v>47</v>
      </c>
      <c r="C17" t="s">
        <v>48</v>
      </c>
      <c r="D17">
        <v>1</v>
      </c>
      <c r="E17">
        <v>1</v>
      </c>
    </row>
    <row r="18" spans="2:5" x14ac:dyDescent="0.3">
      <c r="B18" t="s">
        <v>54</v>
      </c>
      <c r="C18" t="s">
        <v>55</v>
      </c>
      <c r="D18">
        <v>3</v>
      </c>
      <c r="E18">
        <v>1</v>
      </c>
    </row>
    <row r="19" spans="2:5" x14ac:dyDescent="0.3">
      <c r="B19" t="s">
        <v>56</v>
      </c>
      <c r="C19" t="s">
        <v>57</v>
      </c>
      <c r="D19">
        <v>1</v>
      </c>
      <c r="E19">
        <v>4</v>
      </c>
    </row>
    <row r="20" spans="2:5" x14ac:dyDescent="0.3">
      <c r="B20" t="s">
        <v>59</v>
      </c>
      <c r="C20" t="s">
        <v>60</v>
      </c>
      <c r="D20">
        <v>3</v>
      </c>
      <c r="E20">
        <v>0</v>
      </c>
    </row>
    <row r="21" spans="2:5" x14ac:dyDescent="0.3">
      <c r="B21" t="s">
        <v>61</v>
      </c>
      <c r="C21" t="s">
        <v>62</v>
      </c>
      <c r="D21">
        <v>3</v>
      </c>
      <c r="E21">
        <v>1</v>
      </c>
    </row>
    <row r="22" spans="2:5" x14ac:dyDescent="0.3">
      <c r="B22" t="s">
        <v>67</v>
      </c>
      <c r="C22" t="s">
        <v>68</v>
      </c>
      <c r="D22">
        <v>1</v>
      </c>
      <c r="E22">
        <v>0</v>
      </c>
    </row>
    <row r="23" spans="2:5" x14ac:dyDescent="0.3">
      <c r="B23" t="s">
        <v>65</v>
      </c>
      <c r="C23" t="s">
        <v>66</v>
      </c>
      <c r="D23">
        <v>4</v>
      </c>
      <c r="E23">
        <v>2</v>
      </c>
    </row>
    <row r="24" spans="2:5" x14ac:dyDescent="0.3">
      <c r="B24" t="s">
        <v>63</v>
      </c>
      <c r="C24" t="s">
        <v>64</v>
      </c>
      <c r="D24">
        <v>1</v>
      </c>
      <c r="E24">
        <v>1</v>
      </c>
    </row>
    <row r="25" spans="2:5" x14ac:dyDescent="0.3">
      <c r="B25" t="s">
        <v>70</v>
      </c>
      <c r="C25" t="s">
        <v>71</v>
      </c>
      <c r="D25">
        <v>1</v>
      </c>
      <c r="E25">
        <v>3</v>
      </c>
    </row>
    <row r="26" spans="2:5" x14ac:dyDescent="0.3">
      <c r="B26" t="s">
        <v>21</v>
      </c>
      <c r="C26" t="s">
        <v>16</v>
      </c>
      <c r="D26">
        <v>1</v>
      </c>
      <c r="E26">
        <v>1</v>
      </c>
    </row>
    <row r="27" spans="2:5" x14ac:dyDescent="0.3">
      <c r="B27" t="s">
        <v>28</v>
      </c>
      <c r="C27" t="s">
        <v>23</v>
      </c>
      <c r="D27">
        <v>4</v>
      </c>
      <c r="E27">
        <v>1</v>
      </c>
    </row>
    <row r="28" spans="2:5" x14ac:dyDescent="0.3">
      <c r="B28" t="s">
        <v>22</v>
      </c>
      <c r="C28" t="s">
        <v>27</v>
      </c>
      <c r="D28">
        <v>6</v>
      </c>
      <c r="E28">
        <v>0</v>
      </c>
    </row>
    <row r="29" spans="2:5" x14ac:dyDescent="0.3">
      <c r="B29" t="s">
        <v>15</v>
      </c>
      <c r="C29" t="s">
        <v>20</v>
      </c>
      <c r="D29">
        <v>1</v>
      </c>
      <c r="E29">
        <v>0</v>
      </c>
    </row>
    <row r="30" spans="2:5" x14ac:dyDescent="0.3">
      <c r="B30" t="s">
        <v>29</v>
      </c>
      <c r="C30" t="s">
        <v>32</v>
      </c>
      <c r="D30">
        <v>3</v>
      </c>
      <c r="E30">
        <v>0</v>
      </c>
    </row>
    <row r="31" spans="2:5" x14ac:dyDescent="0.3">
      <c r="B31" t="s">
        <v>33</v>
      </c>
      <c r="C31" t="s">
        <v>30</v>
      </c>
      <c r="D31">
        <v>0</v>
      </c>
      <c r="E31">
        <v>1</v>
      </c>
    </row>
    <row r="32" spans="2:5" x14ac:dyDescent="0.3">
      <c r="B32" t="s">
        <v>35</v>
      </c>
      <c r="C32" t="s">
        <v>26</v>
      </c>
      <c r="D32">
        <v>0</v>
      </c>
      <c r="E32">
        <v>1</v>
      </c>
    </row>
    <row r="33" spans="2:5" x14ac:dyDescent="0.3">
      <c r="B33" t="s">
        <v>25</v>
      </c>
      <c r="C33" t="s">
        <v>34</v>
      </c>
      <c r="D33">
        <v>2</v>
      </c>
      <c r="E33">
        <v>0</v>
      </c>
    </row>
    <row r="34" spans="2:5" x14ac:dyDescent="0.3">
      <c r="B34" t="s">
        <v>36</v>
      </c>
      <c r="C34" t="s">
        <v>40</v>
      </c>
      <c r="D34">
        <v>2</v>
      </c>
      <c r="E34">
        <v>1</v>
      </c>
    </row>
    <row r="35" spans="2:5" x14ac:dyDescent="0.3">
      <c r="B35" t="s">
        <v>41</v>
      </c>
      <c r="C35" t="s">
        <v>37</v>
      </c>
      <c r="D35">
        <v>0</v>
      </c>
      <c r="E35">
        <v>0</v>
      </c>
    </row>
    <row r="36" spans="2:5" x14ac:dyDescent="0.3">
      <c r="B36" t="s">
        <v>38</v>
      </c>
      <c r="C36" t="s">
        <v>43</v>
      </c>
      <c r="D36">
        <v>5</v>
      </c>
      <c r="E36">
        <v>1</v>
      </c>
    </row>
    <row r="37" spans="2:5" x14ac:dyDescent="0.3">
      <c r="B37" t="s">
        <v>44</v>
      </c>
      <c r="C37" t="s">
        <v>39</v>
      </c>
      <c r="D37">
        <v>0</v>
      </c>
      <c r="E37">
        <v>4</v>
      </c>
    </row>
    <row r="38" spans="2:5" x14ac:dyDescent="0.3">
      <c r="B38" t="s">
        <v>50</v>
      </c>
      <c r="C38" t="s">
        <v>46</v>
      </c>
      <c r="D38">
        <v>2</v>
      </c>
      <c r="E38">
        <v>2</v>
      </c>
    </row>
    <row r="39" spans="2:5" x14ac:dyDescent="0.3">
      <c r="B39" t="s">
        <v>45</v>
      </c>
      <c r="C39" t="s">
        <v>49</v>
      </c>
      <c r="D39">
        <v>4</v>
      </c>
      <c r="E39">
        <v>0</v>
      </c>
    </row>
    <row r="40" spans="2:5" x14ac:dyDescent="0.3">
      <c r="B40" t="s">
        <v>47</v>
      </c>
      <c r="C40" t="s">
        <v>52</v>
      </c>
      <c r="D40">
        <v>0</v>
      </c>
      <c r="E40">
        <v>0</v>
      </c>
    </row>
    <row r="41" spans="2:5" x14ac:dyDescent="0.3">
      <c r="B41" t="s">
        <v>53</v>
      </c>
      <c r="C41" t="s">
        <v>48</v>
      </c>
      <c r="D41">
        <v>1</v>
      </c>
      <c r="E41">
        <v>3</v>
      </c>
    </row>
    <row r="42" spans="2:5" x14ac:dyDescent="0.3">
      <c r="B42" t="s">
        <v>57</v>
      </c>
      <c r="C42" t="s">
        <v>55</v>
      </c>
      <c r="D42">
        <v>3</v>
      </c>
      <c r="E42">
        <v>2</v>
      </c>
    </row>
    <row r="43" spans="2:5" x14ac:dyDescent="0.3">
      <c r="B43" t="s">
        <v>54</v>
      </c>
      <c r="C43" t="s">
        <v>56</v>
      </c>
      <c r="D43">
        <v>3</v>
      </c>
      <c r="E43">
        <v>0</v>
      </c>
    </row>
    <row r="44" spans="2:5" x14ac:dyDescent="0.3">
      <c r="B44" t="s">
        <v>59</v>
      </c>
      <c r="C44" t="s">
        <v>61</v>
      </c>
      <c r="D44">
        <v>2</v>
      </c>
      <c r="E44">
        <v>0</v>
      </c>
    </row>
    <row r="45" spans="2:5" x14ac:dyDescent="0.3">
      <c r="B45" t="s">
        <v>62</v>
      </c>
      <c r="C45" t="s">
        <v>60</v>
      </c>
      <c r="D45">
        <v>1</v>
      </c>
      <c r="E45">
        <v>2</v>
      </c>
    </row>
    <row r="46" spans="2:5" x14ac:dyDescent="0.3">
      <c r="B46" t="s">
        <v>65</v>
      </c>
      <c r="C46" t="s">
        <v>67</v>
      </c>
      <c r="D46">
        <v>0</v>
      </c>
      <c r="E46">
        <v>0</v>
      </c>
    </row>
    <row r="47" spans="2:5" x14ac:dyDescent="0.3">
      <c r="B47" t="s">
        <v>68</v>
      </c>
      <c r="C47" t="s">
        <v>66</v>
      </c>
      <c r="D47">
        <v>0</v>
      </c>
      <c r="E47">
        <v>1</v>
      </c>
    </row>
    <row r="48" spans="2:5" x14ac:dyDescent="0.3">
      <c r="B48" t="s">
        <v>63</v>
      </c>
      <c r="C48" t="s">
        <v>70</v>
      </c>
      <c r="D48">
        <v>5</v>
      </c>
      <c r="E48">
        <v>0</v>
      </c>
    </row>
    <row r="49" spans="2:5" x14ac:dyDescent="0.3">
      <c r="B49" t="s">
        <v>71</v>
      </c>
      <c r="C49" t="s">
        <v>64</v>
      </c>
      <c r="D49">
        <v>1</v>
      </c>
      <c r="E49">
        <v>0</v>
      </c>
    </row>
    <row r="50" spans="2:5" x14ac:dyDescent="0.3">
      <c r="B50" t="s">
        <v>33</v>
      </c>
      <c r="C50" t="s">
        <v>29</v>
      </c>
      <c r="D50">
        <v>0</v>
      </c>
      <c r="E50">
        <v>3</v>
      </c>
    </row>
    <row r="51" spans="2:5" x14ac:dyDescent="0.3">
      <c r="B51" t="s">
        <v>30</v>
      </c>
      <c r="C51" t="s">
        <v>32</v>
      </c>
      <c r="D51">
        <v>4</v>
      </c>
      <c r="E51">
        <v>2</v>
      </c>
    </row>
    <row r="52" spans="2:5" x14ac:dyDescent="0.3">
      <c r="B52" t="s">
        <v>28</v>
      </c>
      <c r="C52" t="s">
        <v>22</v>
      </c>
      <c r="D52">
        <v>2</v>
      </c>
      <c r="E52">
        <v>1</v>
      </c>
    </row>
    <row r="53" spans="2:5" x14ac:dyDescent="0.3">
      <c r="B53" t="s">
        <v>23</v>
      </c>
      <c r="C53" t="s">
        <v>27</v>
      </c>
      <c r="D53">
        <v>3</v>
      </c>
      <c r="E53">
        <v>1</v>
      </c>
    </row>
    <row r="54" spans="2:5" x14ac:dyDescent="0.3">
      <c r="B54" t="s">
        <v>21</v>
      </c>
      <c r="C54" t="s">
        <v>15</v>
      </c>
      <c r="D54">
        <v>0</v>
      </c>
      <c r="E54">
        <v>3</v>
      </c>
    </row>
    <row r="55" spans="2:5" x14ac:dyDescent="0.3">
      <c r="B55" t="s">
        <v>16</v>
      </c>
      <c r="C55" t="s">
        <v>20</v>
      </c>
      <c r="D55">
        <v>1</v>
      </c>
      <c r="E55">
        <v>0</v>
      </c>
    </row>
    <row r="56" spans="2:5" x14ac:dyDescent="0.3">
      <c r="B56" t="s">
        <v>37</v>
      </c>
      <c r="C56" t="s">
        <v>40</v>
      </c>
      <c r="D56">
        <v>0</v>
      </c>
      <c r="E56">
        <v>2</v>
      </c>
    </row>
    <row r="57" spans="2:5" x14ac:dyDescent="0.3">
      <c r="B57" t="s">
        <v>41</v>
      </c>
      <c r="C57" t="s">
        <v>36</v>
      </c>
      <c r="D57">
        <v>2</v>
      </c>
      <c r="E57">
        <v>1</v>
      </c>
    </row>
    <row r="58" spans="2:5" x14ac:dyDescent="0.3">
      <c r="B58" t="s">
        <v>39</v>
      </c>
      <c r="C58" t="s">
        <v>43</v>
      </c>
      <c r="D58">
        <v>1</v>
      </c>
      <c r="E58">
        <v>1</v>
      </c>
    </row>
    <row r="59" spans="2:5" x14ac:dyDescent="0.3">
      <c r="B59" t="s">
        <v>44</v>
      </c>
      <c r="C59" t="s">
        <v>38</v>
      </c>
      <c r="D59">
        <v>1</v>
      </c>
      <c r="E59">
        <v>3</v>
      </c>
    </row>
    <row r="60" spans="2:5" x14ac:dyDescent="0.3">
      <c r="B60" t="s">
        <v>35</v>
      </c>
      <c r="C60" t="s">
        <v>25</v>
      </c>
      <c r="D60">
        <v>3</v>
      </c>
      <c r="E60">
        <v>2</v>
      </c>
    </row>
    <row r="61" spans="2:5" x14ac:dyDescent="0.3">
      <c r="B61" t="s">
        <v>26</v>
      </c>
      <c r="C61" t="s">
        <v>34</v>
      </c>
      <c r="D61">
        <v>0</v>
      </c>
      <c r="E61">
        <v>0</v>
      </c>
    </row>
    <row r="62" spans="2:5" x14ac:dyDescent="0.3">
      <c r="B62" t="s">
        <v>57</v>
      </c>
      <c r="C62" t="s">
        <v>54</v>
      </c>
      <c r="D62">
        <v>1</v>
      </c>
      <c r="E62">
        <v>4</v>
      </c>
    </row>
    <row r="63" spans="2:5" x14ac:dyDescent="0.3">
      <c r="B63" t="s">
        <v>55</v>
      </c>
      <c r="C63" t="s">
        <v>56</v>
      </c>
      <c r="D63">
        <v>5</v>
      </c>
      <c r="E63">
        <v>0</v>
      </c>
    </row>
    <row r="64" spans="2:5" x14ac:dyDescent="0.3">
      <c r="B64" t="s">
        <v>48</v>
      </c>
      <c r="C64" t="s">
        <v>52</v>
      </c>
      <c r="D64">
        <v>1</v>
      </c>
      <c r="E64">
        <v>1</v>
      </c>
    </row>
    <row r="65" spans="1:5" x14ac:dyDescent="0.3">
      <c r="B65" t="s">
        <v>53</v>
      </c>
      <c r="C65" t="s">
        <v>47</v>
      </c>
      <c r="D65">
        <v>1</v>
      </c>
      <c r="E65">
        <v>5</v>
      </c>
    </row>
    <row r="66" spans="1:5" x14ac:dyDescent="0.3">
      <c r="B66" t="s">
        <v>46</v>
      </c>
      <c r="C66" t="s">
        <v>49</v>
      </c>
      <c r="D66">
        <v>0</v>
      </c>
      <c r="E66">
        <v>0</v>
      </c>
    </row>
    <row r="67" spans="1:5" x14ac:dyDescent="0.3">
      <c r="B67" t="s">
        <v>50</v>
      </c>
      <c r="C67" t="s">
        <v>45</v>
      </c>
      <c r="D67">
        <v>0</v>
      </c>
      <c r="E67">
        <v>1</v>
      </c>
    </row>
    <row r="68" spans="1:5" x14ac:dyDescent="0.3">
      <c r="B68" t="s">
        <v>68</v>
      </c>
      <c r="C68" t="s">
        <v>65</v>
      </c>
      <c r="D68">
        <v>0</v>
      </c>
      <c r="E68">
        <v>2</v>
      </c>
    </row>
    <row r="69" spans="1:5" x14ac:dyDescent="0.3">
      <c r="B69" t="s">
        <v>66</v>
      </c>
      <c r="C69" t="s">
        <v>67</v>
      </c>
      <c r="D69">
        <v>2</v>
      </c>
      <c r="E69">
        <v>1</v>
      </c>
    </row>
    <row r="70" spans="1:5" x14ac:dyDescent="0.3">
      <c r="B70" t="s">
        <v>60</v>
      </c>
      <c r="C70" t="s">
        <v>61</v>
      </c>
      <c r="D70">
        <v>3</v>
      </c>
      <c r="E70">
        <v>3</v>
      </c>
    </row>
    <row r="71" spans="1:5" x14ac:dyDescent="0.3">
      <c r="B71" t="s">
        <v>62</v>
      </c>
      <c r="C71" t="s">
        <v>59</v>
      </c>
      <c r="D71">
        <v>1</v>
      </c>
      <c r="E71">
        <v>3</v>
      </c>
    </row>
    <row r="72" spans="1:5" x14ac:dyDescent="0.3">
      <c r="B72" t="s">
        <v>71</v>
      </c>
      <c r="C72" t="s">
        <v>63</v>
      </c>
      <c r="D72">
        <v>0</v>
      </c>
      <c r="E72">
        <v>0</v>
      </c>
    </row>
    <row r="73" spans="1:5" x14ac:dyDescent="0.3">
      <c r="B73" t="s">
        <v>64</v>
      </c>
      <c r="C73" t="s">
        <v>70</v>
      </c>
      <c r="D73">
        <v>3</v>
      </c>
      <c r="E73">
        <v>1</v>
      </c>
    </row>
    <row r="74" spans="1:5" x14ac:dyDescent="0.3">
      <c r="A74">
        <v>73</v>
      </c>
      <c r="B74" t="s">
        <v>16</v>
      </c>
      <c r="C74" t="s">
        <v>22</v>
      </c>
      <c r="D74">
        <v>0</v>
      </c>
      <c r="E74">
        <v>1</v>
      </c>
    </row>
    <row r="75" spans="1:5" x14ac:dyDescent="0.3">
      <c r="A75">
        <v>74</v>
      </c>
      <c r="B75" t="s">
        <v>36</v>
      </c>
      <c r="C75" t="s">
        <v>26</v>
      </c>
      <c r="D75">
        <v>1</v>
      </c>
      <c r="E75">
        <v>1</v>
      </c>
    </row>
    <row r="76" spans="1:5" x14ac:dyDescent="0.3">
      <c r="A76">
        <v>75</v>
      </c>
      <c r="B76" t="s">
        <v>38</v>
      </c>
      <c r="C76" t="s">
        <v>30</v>
      </c>
      <c r="D76">
        <v>1</v>
      </c>
      <c r="E76">
        <v>1</v>
      </c>
    </row>
    <row r="77" spans="1:5" x14ac:dyDescent="0.3">
      <c r="A77">
        <v>76</v>
      </c>
      <c r="B77" t="s">
        <v>29</v>
      </c>
      <c r="C77" t="s">
        <v>39</v>
      </c>
      <c r="D77">
        <v>2</v>
      </c>
      <c r="E77">
        <v>1</v>
      </c>
    </row>
    <row r="78" spans="1:5" x14ac:dyDescent="0.3">
      <c r="A78">
        <v>77</v>
      </c>
      <c r="B78" t="s">
        <v>54</v>
      </c>
      <c r="C78" t="s">
        <v>43</v>
      </c>
      <c r="D78">
        <v>3</v>
      </c>
      <c r="E78">
        <v>0</v>
      </c>
    </row>
    <row r="79" spans="1:5" x14ac:dyDescent="0.3">
      <c r="A79">
        <v>78</v>
      </c>
      <c r="B79" t="s">
        <v>120</v>
      </c>
      <c r="C79" t="s">
        <v>57</v>
      </c>
      <c r="D79">
        <v>1</v>
      </c>
      <c r="E79">
        <v>2</v>
      </c>
    </row>
    <row r="80" spans="1:5" x14ac:dyDescent="0.3">
      <c r="A80">
        <v>79</v>
      </c>
      <c r="B80" t="s">
        <v>15</v>
      </c>
      <c r="C80" t="s">
        <v>41</v>
      </c>
      <c r="D80">
        <v>2</v>
      </c>
      <c r="E80">
        <v>0</v>
      </c>
    </row>
    <row r="81" spans="1:5" x14ac:dyDescent="0.3">
      <c r="A81">
        <v>80</v>
      </c>
      <c r="B81" t="s">
        <v>65</v>
      </c>
      <c r="C81" t="s">
        <v>64</v>
      </c>
      <c r="D81">
        <v>2</v>
      </c>
      <c r="E81">
        <v>1</v>
      </c>
    </row>
    <row r="82" spans="1:5" x14ac:dyDescent="0.3">
      <c r="A82">
        <v>81</v>
      </c>
      <c r="B82" t="s">
        <v>25</v>
      </c>
      <c r="C82" t="s">
        <v>23</v>
      </c>
      <c r="D82">
        <v>2</v>
      </c>
      <c r="E82">
        <v>0</v>
      </c>
    </row>
    <row r="83" spans="1:5" x14ac:dyDescent="0.3">
      <c r="A83">
        <v>82</v>
      </c>
      <c r="B83" t="s">
        <v>47</v>
      </c>
      <c r="C83" t="s">
        <v>55</v>
      </c>
      <c r="D83">
        <v>3</v>
      </c>
      <c r="E83">
        <v>2</v>
      </c>
    </row>
    <row r="84" spans="1:5" x14ac:dyDescent="0.3">
      <c r="A84">
        <v>83</v>
      </c>
      <c r="B84" t="s">
        <v>63</v>
      </c>
      <c r="C84" t="s">
        <v>66</v>
      </c>
      <c r="D84">
        <v>2</v>
      </c>
      <c r="E84">
        <v>1</v>
      </c>
    </row>
    <row r="85" spans="1:5" x14ac:dyDescent="0.3">
      <c r="A85">
        <v>84</v>
      </c>
      <c r="B85" t="s">
        <v>45</v>
      </c>
      <c r="C85" t="s">
        <v>61</v>
      </c>
      <c r="D85">
        <v>3</v>
      </c>
      <c r="E85">
        <v>0</v>
      </c>
    </row>
    <row r="86" spans="1:5" x14ac:dyDescent="0.3">
      <c r="A86">
        <v>85</v>
      </c>
      <c r="B86" t="s">
        <v>28</v>
      </c>
      <c r="C86" t="s">
        <v>60</v>
      </c>
      <c r="D86">
        <v>2</v>
      </c>
      <c r="E86">
        <v>0</v>
      </c>
    </row>
    <row r="87" spans="1:5" x14ac:dyDescent="0.3">
      <c r="A87">
        <v>86</v>
      </c>
      <c r="B87" t="s">
        <v>59</v>
      </c>
      <c r="C87" t="s">
        <v>46</v>
      </c>
      <c r="D87">
        <v>3</v>
      </c>
      <c r="E87">
        <v>2</v>
      </c>
    </row>
    <row r="88" spans="1:5" x14ac:dyDescent="0.3">
      <c r="A88">
        <v>87</v>
      </c>
      <c r="B88" t="s">
        <v>71</v>
      </c>
      <c r="C88" t="s">
        <v>67</v>
      </c>
      <c r="D88">
        <v>1</v>
      </c>
      <c r="E88">
        <v>0</v>
      </c>
    </row>
    <row r="89" spans="1:5" x14ac:dyDescent="0.3">
      <c r="A89">
        <v>88</v>
      </c>
      <c r="B89" t="s">
        <v>34</v>
      </c>
      <c r="C89" t="s">
        <v>48</v>
      </c>
      <c r="D89">
        <v>1</v>
      </c>
      <c r="E89">
        <v>1</v>
      </c>
    </row>
    <row r="90" spans="1:5" x14ac:dyDescent="0.3">
      <c r="A90">
        <v>89</v>
      </c>
      <c r="B90" t="s">
        <v>26</v>
      </c>
      <c r="C90" t="s">
        <v>54</v>
      </c>
      <c r="D90">
        <v>0</v>
      </c>
      <c r="E90">
        <v>1</v>
      </c>
    </row>
    <row r="91" spans="1:5" x14ac:dyDescent="0.3">
      <c r="A91">
        <v>90</v>
      </c>
      <c r="B91" t="s">
        <v>22</v>
      </c>
      <c r="C91" t="s">
        <v>30</v>
      </c>
      <c r="D91">
        <v>0</v>
      </c>
      <c r="E91">
        <v>3</v>
      </c>
    </row>
    <row r="92" spans="1:5" x14ac:dyDescent="0.3">
      <c r="A92">
        <v>91</v>
      </c>
      <c r="B92" t="s">
        <v>29</v>
      </c>
      <c r="C92" t="s">
        <v>57</v>
      </c>
      <c r="D92">
        <v>1</v>
      </c>
      <c r="E92">
        <v>2</v>
      </c>
    </row>
    <row r="93" spans="1:5" x14ac:dyDescent="0.3">
      <c r="A93">
        <v>92</v>
      </c>
      <c r="B93" t="s">
        <v>15</v>
      </c>
      <c r="C93" t="s">
        <v>65</v>
      </c>
      <c r="D93">
        <v>2</v>
      </c>
      <c r="E93">
        <v>3</v>
      </c>
    </row>
    <row r="94" spans="1:5" x14ac:dyDescent="0.3">
      <c r="A94">
        <v>93</v>
      </c>
      <c r="B94" t="s">
        <v>63</v>
      </c>
      <c r="C94" t="s">
        <v>45</v>
      </c>
      <c r="D94">
        <v>0</v>
      </c>
      <c r="E94">
        <v>1</v>
      </c>
    </row>
    <row r="95" spans="1:5" x14ac:dyDescent="0.3">
      <c r="A95">
        <v>94</v>
      </c>
      <c r="B95" t="s">
        <v>25</v>
      </c>
      <c r="C95" t="s">
        <v>47</v>
      </c>
      <c r="D95">
        <v>1</v>
      </c>
      <c r="E95">
        <v>4</v>
      </c>
    </row>
    <row r="96" spans="1:5" x14ac:dyDescent="0.3">
      <c r="A96">
        <v>95</v>
      </c>
      <c r="B96" t="s">
        <v>59</v>
      </c>
      <c r="C96" t="s">
        <v>48</v>
      </c>
      <c r="D96">
        <v>3</v>
      </c>
      <c r="E96">
        <v>2</v>
      </c>
    </row>
    <row r="97" spans="1:5" x14ac:dyDescent="0.3">
      <c r="A97">
        <v>96</v>
      </c>
      <c r="B97" t="s">
        <v>28</v>
      </c>
      <c r="C97" t="s">
        <v>71</v>
      </c>
      <c r="D97">
        <v>0</v>
      </c>
      <c r="E97">
        <v>0</v>
      </c>
    </row>
    <row r="98" spans="1:5" x14ac:dyDescent="0.3">
      <c r="A98">
        <v>97</v>
      </c>
      <c r="B98" t="s">
        <v>54</v>
      </c>
      <c r="C98" t="s">
        <v>30</v>
      </c>
      <c r="D98">
        <v>2</v>
      </c>
      <c r="E98">
        <v>0</v>
      </c>
    </row>
    <row r="99" spans="1:5" x14ac:dyDescent="0.3">
      <c r="A99">
        <v>98</v>
      </c>
      <c r="B99" t="s">
        <v>45</v>
      </c>
      <c r="C99" t="s">
        <v>47</v>
      </c>
      <c r="D99">
        <v>2</v>
      </c>
      <c r="E99">
        <v>1</v>
      </c>
    </row>
    <row r="100" spans="1:5" x14ac:dyDescent="0.3">
      <c r="A100">
        <v>99</v>
      </c>
      <c r="B100" t="s">
        <v>57</v>
      </c>
      <c r="C100" t="s">
        <v>65</v>
      </c>
      <c r="D100">
        <v>1</v>
      </c>
      <c r="E100">
        <v>2</v>
      </c>
    </row>
    <row r="101" spans="1:5" x14ac:dyDescent="0.3">
      <c r="A101">
        <v>100</v>
      </c>
      <c r="B101" t="s">
        <v>59</v>
      </c>
      <c r="C101" t="s">
        <v>28</v>
      </c>
      <c r="D101">
        <v>3</v>
      </c>
      <c r="E101">
        <v>1</v>
      </c>
    </row>
    <row r="102" spans="1:5" x14ac:dyDescent="0.3">
      <c r="A102">
        <v>101</v>
      </c>
      <c r="B102" t="s">
        <v>54</v>
      </c>
      <c r="C102" t="s">
        <v>45</v>
      </c>
      <c r="D102">
        <v>0</v>
      </c>
      <c r="E102">
        <v>2</v>
      </c>
    </row>
    <row r="103" spans="1:5" x14ac:dyDescent="0.3">
      <c r="A103">
        <v>102</v>
      </c>
      <c r="B103" t="s">
        <v>65</v>
      </c>
      <c r="C103" t="s">
        <v>59</v>
      </c>
      <c r="D103">
        <v>1</v>
      </c>
      <c r="E103">
        <v>2</v>
      </c>
    </row>
    <row r="104" spans="1:5" x14ac:dyDescent="0.3">
      <c r="A104">
        <v>103</v>
      </c>
      <c r="B104" t="s">
        <v>54</v>
      </c>
      <c r="C104" t="s">
        <v>65</v>
      </c>
      <c r="D104">
        <v>4</v>
      </c>
      <c r="E104">
        <v>6</v>
      </c>
    </row>
    <row r="105" spans="1:5" x14ac:dyDescent="0.3">
      <c r="A105">
        <v>104</v>
      </c>
      <c r="B105" t="s">
        <v>45</v>
      </c>
      <c r="C105" t="s">
        <v>59</v>
      </c>
      <c r="D105">
        <v>1</v>
      </c>
      <c r="E105">
        <v>0</v>
      </c>
    </row>
  </sheetData>
  <autoFilter ref="A1:E105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9"/>
  <sheetViews>
    <sheetView zoomScale="48" workbookViewId="0">
      <pane ySplit="1" topLeftCell="A2" activePane="bottomLeft" state="frozen"/>
      <selection pane="bottomLeft"/>
    </sheetView>
  </sheetViews>
  <sheetFormatPr defaultRowHeight="14.4" x14ac:dyDescent="0.3"/>
  <cols>
    <col min="1" max="2" width="12" customWidth="1"/>
    <col min="3" max="4" width="24" customWidth="1"/>
    <col min="5" max="6" width="12" customWidth="1"/>
    <col min="7" max="7" width="31" customWidth="1"/>
    <col min="8" max="8" width="30" customWidth="1"/>
    <col min="9" max="9" width="33" customWidth="1"/>
    <col min="10" max="10" width="34" customWidth="1"/>
    <col min="11" max="11" width="33" customWidth="1"/>
    <col min="12" max="12" width="36" customWidth="1"/>
    <col min="13" max="13" width="35" customWidth="1"/>
    <col min="14" max="14" width="36" customWidth="1"/>
  </cols>
  <sheetData>
    <row r="1" spans="1:14" ht="31.9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121</v>
      </c>
      <c r="L1" s="1" t="s">
        <v>122</v>
      </c>
      <c r="M1" s="1" t="s">
        <v>123</v>
      </c>
      <c r="N1" s="1" t="s">
        <v>124</v>
      </c>
    </row>
    <row r="2" spans="1:14" x14ac:dyDescent="0.3">
      <c r="A2">
        <v>400021443</v>
      </c>
      <c r="B2" t="s">
        <v>14</v>
      </c>
      <c r="C2" t="s">
        <v>15</v>
      </c>
      <c r="D2" t="s">
        <v>16</v>
      </c>
      <c r="E2" t="s">
        <v>17</v>
      </c>
      <c r="F2">
        <v>2</v>
      </c>
      <c r="G2">
        <v>259.10000000000002</v>
      </c>
      <c r="H2">
        <v>1</v>
      </c>
      <c r="I2">
        <v>0</v>
      </c>
      <c r="J2">
        <v>0</v>
      </c>
      <c r="K2">
        <v>27.278500000000001</v>
      </c>
      <c r="L2">
        <v>2.2446000000000002</v>
      </c>
      <c r="M2">
        <v>0.58000000000001251</v>
      </c>
      <c r="N2">
        <v>0.25850000000000001</v>
      </c>
    </row>
    <row r="3" spans="1:14" x14ac:dyDescent="0.3">
      <c r="A3">
        <v>400021443</v>
      </c>
      <c r="B3" t="s">
        <v>14</v>
      </c>
      <c r="C3" t="s">
        <v>16</v>
      </c>
      <c r="D3" t="s">
        <v>15</v>
      </c>
      <c r="E3" t="s">
        <v>18</v>
      </c>
      <c r="F3">
        <v>0</v>
      </c>
      <c r="G3">
        <v>-259.10000000000002</v>
      </c>
      <c r="H3">
        <v>-1</v>
      </c>
      <c r="I3">
        <v>0</v>
      </c>
      <c r="J3">
        <v>0</v>
      </c>
      <c r="K3">
        <v>-27.278500000000001</v>
      </c>
      <c r="L3">
        <v>-2.2446000000000002</v>
      </c>
      <c r="M3">
        <v>-0.58000000000001251</v>
      </c>
      <c r="N3">
        <v>-0.25850000000000001</v>
      </c>
    </row>
    <row r="4" spans="1:14" x14ac:dyDescent="0.3">
      <c r="A4">
        <v>400021441</v>
      </c>
      <c r="B4" t="s">
        <v>19</v>
      </c>
      <c r="C4" t="s">
        <v>20</v>
      </c>
      <c r="D4" t="s">
        <v>21</v>
      </c>
      <c r="E4" t="s">
        <v>17</v>
      </c>
      <c r="F4">
        <v>2</v>
      </c>
      <c r="G4">
        <v>85.89</v>
      </c>
      <c r="H4">
        <v>0</v>
      </c>
      <c r="I4">
        <v>0</v>
      </c>
      <c r="J4">
        <v>0</v>
      </c>
      <c r="K4">
        <v>9.076900000000002</v>
      </c>
      <c r="L4">
        <v>1.6922999999999999</v>
      </c>
      <c r="M4">
        <v>-3.8076999999999832</v>
      </c>
      <c r="N4">
        <v>0.3846</v>
      </c>
    </row>
    <row r="5" spans="1:14" x14ac:dyDescent="0.3">
      <c r="A5">
        <v>400021441</v>
      </c>
      <c r="B5" t="s">
        <v>19</v>
      </c>
      <c r="C5" t="s">
        <v>21</v>
      </c>
      <c r="D5" t="s">
        <v>20</v>
      </c>
      <c r="E5" t="s">
        <v>18</v>
      </c>
      <c r="F5">
        <v>1</v>
      </c>
      <c r="G5">
        <v>-85.89</v>
      </c>
      <c r="H5">
        <v>0</v>
      </c>
      <c r="I5">
        <v>0</v>
      </c>
      <c r="J5">
        <v>0</v>
      </c>
      <c r="K5">
        <v>-9.076900000000002</v>
      </c>
      <c r="L5">
        <v>-1.6922999999999999</v>
      </c>
      <c r="M5">
        <v>3.8076999999999832</v>
      </c>
      <c r="N5">
        <v>-0.3846</v>
      </c>
    </row>
    <row r="6" spans="1:14" x14ac:dyDescent="0.3">
      <c r="A6">
        <v>400021449</v>
      </c>
      <c r="B6" t="s">
        <v>19</v>
      </c>
      <c r="C6" t="s">
        <v>22</v>
      </c>
      <c r="D6" t="s">
        <v>23</v>
      </c>
      <c r="E6" t="s">
        <v>17</v>
      </c>
      <c r="F6">
        <v>1</v>
      </c>
      <c r="G6">
        <v>172.26</v>
      </c>
      <c r="H6">
        <v>1</v>
      </c>
      <c r="I6">
        <v>0</v>
      </c>
      <c r="J6">
        <v>0</v>
      </c>
      <c r="K6">
        <v>14.461499999999999</v>
      </c>
      <c r="L6">
        <v>1.6922999999999999</v>
      </c>
      <c r="M6">
        <v>-4.7691999999999837</v>
      </c>
      <c r="N6">
        <v>-3.839999999999999E-2</v>
      </c>
    </row>
    <row r="7" spans="1:14" x14ac:dyDescent="0.3">
      <c r="A7">
        <v>400021449</v>
      </c>
      <c r="B7" t="s">
        <v>19</v>
      </c>
      <c r="C7" t="s">
        <v>23</v>
      </c>
      <c r="D7" t="s">
        <v>22</v>
      </c>
      <c r="E7" t="s">
        <v>18</v>
      </c>
      <c r="F7">
        <v>1</v>
      </c>
      <c r="G7">
        <v>-172.26</v>
      </c>
      <c r="H7">
        <v>-1</v>
      </c>
      <c r="I7">
        <v>0</v>
      </c>
      <c r="J7">
        <v>0</v>
      </c>
      <c r="K7">
        <v>-14.461499999999999</v>
      </c>
      <c r="L7">
        <v>-1.6922999999999999</v>
      </c>
      <c r="M7">
        <v>4.7691999999999837</v>
      </c>
      <c r="N7">
        <v>3.839999999999999E-2</v>
      </c>
    </row>
    <row r="8" spans="1:14" x14ac:dyDescent="0.3">
      <c r="A8">
        <v>400021458</v>
      </c>
      <c r="B8" t="s">
        <v>24</v>
      </c>
      <c r="C8" t="s">
        <v>25</v>
      </c>
      <c r="D8" t="s">
        <v>26</v>
      </c>
      <c r="E8" t="s">
        <v>17</v>
      </c>
      <c r="F8">
        <v>4</v>
      </c>
      <c r="G8">
        <v>165.88</v>
      </c>
      <c r="H8">
        <v>1</v>
      </c>
      <c r="I8">
        <v>0</v>
      </c>
      <c r="J8">
        <v>0</v>
      </c>
      <c r="K8">
        <v>10.384600000000001</v>
      </c>
      <c r="L8">
        <v>3</v>
      </c>
      <c r="M8">
        <v>1.7692000000000121</v>
      </c>
      <c r="N8">
        <v>-0.15379999999999999</v>
      </c>
    </row>
    <row r="9" spans="1:14" x14ac:dyDescent="0.3">
      <c r="A9">
        <v>400021458</v>
      </c>
      <c r="B9" t="s">
        <v>24</v>
      </c>
      <c r="C9" t="s">
        <v>26</v>
      </c>
      <c r="D9" t="s">
        <v>25</v>
      </c>
      <c r="E9" t="s">
        <v>18</v>
      </c>
      <c r="F9">
        <v>1</v>
      </c>
      <c r="G9">
        <v>-165.88</v>
      </c>
      <c r="H9">
        <v>-1</v>
      </c>
      <c r="I9">
        <v>0</v>
      </c>
      <c r="J9">
        <v>0</v>
      </c>
      <c r="K9">
        <v>-10.384600000000001</v>
      </c>
      <c r="L9">
        <v>-3</v>
      </c>
      <c r="M9">
        <v>-1.7692000000000121</v>
      </c>
      <c r="N9">
        <v>0.15379999999999999</v>
      </c>
    </row>
    <row r="10" spans="1:14" x14ac:dyDescent="0.3">
      <c r="A10">
        <v>400021447</v>
      </c>
      <c r="B10" t="s">
        <v>24</v>
      </c>
      <c r="C10" t="s">
        <v>27</v>
      </c>
      <c r="D10" t="s">
        <v>28</v>
      </c>
      <c r="E10" t="s">
        <v>17</v>
      </c>
      <c r="F10">
        <v>1</v>
      </c>
      <c r="G10">
        <v>-199.75</v>
      </c>
      <c r="H10">
        <v>0</v>
      </c>
      <c r="I10">
        <v>0</v>
      </c>
      <c r="J10">
        <v>0</v>
      </c>
      <c r="K10">
        <v>14.92310000000001</v>
      </c>
      <c r="L10">
        <v>3.1923999999999988</v>
      </c>
      <c r="M10">
        <v>-5.8461999999999819</v>
      </c>
      <c r="N10">
        <v>-0.88460000000000005</v>
      </c>
    </row>
    <row r="11" spans="1:14" x14ac:dyDescent="0.3">
      <c r="A11">
        <v>400021447</v>
      </c>
      <c r="B11" t="s">
        <v>24</v>
      </c>
      <c r="C11" t="s">
        <v>28</v>
      </c>
      <c r="D11" t="s">
        <v>27</v>
      </c>
      <c r="E11" t="s">
        <v>18</v>
      </c>
      <c r="F11">
        <v>1</v>
      </c>
      <c r="G11">
        <v>199.75</v>
      </c>
      <c r="H11">
        <v>0</v>
      </c>
      <c r="I11">
        <v>0</v>
      </c>
      <c r="J11">
        <v>0</v>
      </c>
      <c r="K11">
        <v>-14.92310000000001</v>
      </c>
      <c r="L11">
        <v>-3.1923999999999988</v>
      </c>
      <c r="M11">
        <v>5.8461999999999819</v>
      </c>
      <c r="N11">
        <v>0.88460000000000005</v>
      </c>
    </row>
    <row r="12" spans="1:14" x14ac:dyDescent="0.3">
      <c r="A12">
        <v>400021456</v>
      </c>
      <c r="B12" t="s">
        <v>24</v>
      </c>
      <c r="C12" t="s">
        <v>29</v>
      </c>
      <c r="D12" t="s">
        <v>30</v>
      </c>
      <c r="E12" t="s">
        <v>17</v>
      </c>
      <c r="F12">
        <v>1</v>
      </c>
      <c r="G12">
        <v>10.76</v>
      </c>
      <c r="H12">
        <v>0</v>
      </c>
      <c r="I12">
        <v>0</v>
      </c>
      <c r="J12">
        <v>0</v>
      </c>
      <c r="K12">
        <v>7.3846000000000016</v>
      </c>
      <c r="L12">
        <v>2.0385</v>
      </c>
      <c r="M12">
        <v>0.7307999999999879</v>
      </c>
      <c r="N12">
        <v>-0.1923</v>
      </c>
    </row>
    <row r="13" spans="1:14" x14ac:dyDescent="0.3">
      <c r="A13">
        <v>400021456</v>
      </c>
      <c r="B13" t="s">
        <v>24</v>
      </c>
      <c r="C13" t="s">
        <v>30</v>
      </c>
      <c r="D13" t="s">
        <v>29</v>
      </c>
      <c r="E13" t="s">
        <v>18</v>
      </c>
      <c r="F13">
        <v>1</v>
      </c>
      <c r="G13">
        <v>-10.76</v>
      </c>
      <c r="H13">
        <v>0</v>
      </c>
      <c r="I13">
        <v>0</v>
      </c>
      <c r="J13">
        <v>0</v>
      </c>
      <c r="K13">
        <v>-7.3846000000000016</v>
      </c>
      <c r="L13">
        <v>-2.0385</v>
      </c>
      <c r="M13">
        <v>-0.7307999999999879</v>
      </c>
      <c r="N13">
        <v>0.1923</v>
      </c>
    </row>
    <row r="14" spans="1:14" x14ac:dyDescent="0.3">
      <c r="A14">
        <v>400021453</v>
      </c>
      <c r="B14" t="s">
        <v>31</v>
      </c>
      <c r="C14" t="s">
        <v>32</v>
      </c>
      <c r="D14" t="s">
        <v>33</v>
      </c>
      <c r="E14" t="s">
        <v>17</v>
      </c>
      <c r="F14">
        <v>0</v>
      </c>
      <c r="G14">
        <v>-210.24</v>
      </c>
      <c r="H14">
        <v>0</v>
      </c>
      <c r="I14">
        <v>0</v>
      </c>
      <c r="J14">
        <v>0</v>
      </c>
      <c r="K14">
        <v>-13.307700000000001</v>
      </c>
      <c r="L14">
        <v>0.65379999999999994</v>
      </c>
      <c r="M14">
        <v>-2.884600000000006</v>
      </c>
      <c r="N14">
        <v>0.26919999999999999</v>
      </c>
    </row>
    <row r="15" spans="1:14" x14ac:dyDescent="0.3">
      <c r="A15">
        <v>400021453</v>
      </c>
      <c r="B15" t="s">
        <v>31</v>
      </c>
      <c r="C15" t="s">
        <v>33</v>
      </c>
      <c r="D15" t="s">
        <v>32</v>
      </c>
      <c r="E15" t="s">
        <v>18</v>
      </c>
      <c r="F15">
        <v>1</v>
      </c>
      <c r="G15">
        <v>210.24</v>
      </c>
      <c r="H15">
        <v>0</v>
      </c>
      <c r="I15">
        <v>0</v>
      </c>
      <c r="J15">
        <v>0</v>
      </c>
      <c r="K15">
        <v>13.307700000000001</v>
      </c>
      <c r="L15">
        <v>-0.65379999999999994</v>
      </c>
      <c r="M15">
        <v>2.884600000000006</v>
      </c>
      <c r="N15">
        <v>-0.26919999999999999</v>
      </c>
    </row>
    <row r="16" spans="1:14" x14ac:dyDescent="0.3">
      <c r="A16">
        <v>400021463</v>
      </c>
      <c r="B16" t="s">
        <v>31</v>
      </c>
      <c r="C16" t="s">
        <v>34</v>
      </c>
      <c r="D16" t="s">
        <v>35</v>
      </c>
      <c r="E16" t="s">
        <v>17</v>
      </c>
      <c r="F16">
        <v>2</v>
      </c>
      <c r="G16">
        <v>-26.39</v>
      </c>
      <c r="H16">
        <v>0</v>
      </c>
      <c r="I16">
        <v>0</v>
      </c>
      <c r="J16">
        <v>0</v>
      </c>
      <c r="K16">
        <v>-8.5768999999999984</v>
      </c>
      <c r="L16">
        <v>-0.96160000000000023</v>
      </c>
      <c r="M16">
        <v>-0.19230000000001721</v>
      </c>
      <c r="N16">
        <v>0.3846</v>
      </c>
    </row>
    <row r="17" spans="1:14" x14ac:dyDescent="0.3">
      <c r="A17">
        <v>400021463</v>
      </c>
      <c r="B17" t="s">
        <v>31</v>
      </c>
      <c r="C17" t="s">
        <v>35</v>
      </c>
      <c r="D17" t="s">
        <v>34</v>
      </c>
      <c r="E17" t="s">
        <v>18</v>
      </c>
      <c r="F17">
        <v>0</v>
      </c>
      <c r="G17">
        <v>26.39</v>
      </c>
      <c r="H17">
        <v>0</v>
      </c>
      <c r="I17">
        <v>0</v>
      </c>
      <c r="J17">
        <v>0</v>
      </c>
      <c r="K17">
        <v>8.5768999999999984</v>
      </c>
      <c r="L17">
        <v>0.96160000000000023</v>
      </c>
      <c r="M17">
        <v>0.19230000000001721</v>
      </c>
      <c r="N17">
        <v>-0.3846</v>
      </c>
    </row>
    <row r="18" spans="1:14" x14ac:dyDescent="0.3">
      <c r="A18">
        <v>400021464</v>
      </c>
      <c r="B18" t="s">
        <v>31</v>
      </c>
      <c r="C18" t="s">
        <v>36</v>
      </c>
      <c r="D18" t="s">
        <v>37</v>
      </c>
      <c r="E18" t="s">
        <v>17</v>
      </c>
      <c r="F18">
        <v>7</v>
      </c>
      <c r="G18">
        <v>441</v>
      </c>
      <c r="H18">
        <v>0</v>
      </c>
      <c r="I18">
        <v>0</v>
      </c>
      <c r="J18">
        <v>0</v>
      </c>
      <c r="K18">
        <v>9.3077000000000005</v>
      </c>
      <c r="L18">
        <v>1.6537999999999999</v>
      </c>
      <c r="M18">
        <v>4.2691999999999837</v>
      </c>
      <c r="N18">
        <v>-0.73080000000000001</v>
      </c>
    </row>
    <row r="19" spans="1:14" x14ac:dyDescent="0.3">
      <c r="A19">
        <v>400021464</v>
      </c>
      <c r="B19" t="s">
        <v>31</v>
      </c>
      <c r="C19" t="s">
        <v>37</v>
      </c>
      <c r="D19" t="s">
        <v>36</v>
      </c>
      <c r="E19" t="s">
        <v>18</v>
      </c>
      <c r="F19">
        <v>1</v>
      </c>
      <c r="G19">
        <v>-441</v>
      </c>
      <c r="H19">
        <v>0</v>
      </c>
      <c r="I19">
        <v>0</v>
      </c>
      <c r="J19">
        <v>0</v>
      </c>
      <c r="K19">
        <v>-9.3077000000000005</v>
      </c>
      <c r="L19">
        <v>-1.6537999999999999</v>
      </c>
      <c r="M19">
        <v>-4.2691999999999837</v>
      </c>
      <c r="N19">
        <v>0.73080000000000001</v>
      </c>
    </row>
    <row r="20" spans="1:14" x14ac:dyDescent="0.3">
      <c r="A20">
        <v>400021470</v>
      </c>
      <c r="B20" t="s">
        <v>31</v>
      </c>
      <c r="C20" t="s">
        <v>38</v>
      </c>
      <c r="D20" t="s">
        <v>39</v>
      </c>
      <c r="E20" t="s">
        <v>17</v>
      </c>
      <c r="F20">
        <v>2</v>
      </c>
      <c r="G20">
        <v>91.99</v>
      </c>
      <c r="H20">
        <v>0</v>
      </c>
      <c r="I20">
        <v>0</v>
      </c>
      <c r="J20">
        <v>0</v>
      </c>
      <c r="K20">
        <v>2.1154000000000011</v>
      </c>
      <c r="L20">
        <v>1.6153999999999991</v>
      </c>
      <c r="M20">
        <v>3.5383999999999962</v>
      </c>
      <c r="N20">
        <v>3.8499999999999979E-2</v>
      </c>
    </row>
    <row r="21" spans="1:14" x14ac:dyDescent="0.3">
      <c r="A21">
        <v>400021470</v>
      </c>
      <c r="B21" t="s">
        <v>31</v>
      </c>
      <c r="C21" t="s">
        <v>39</v>
      </c>
      <c r="D21" t="s">
        <v>38</v>
      </c>
      <c r="E21" t="s">
        <v>18</v>
      </c>
      <c r="F21">
        <v>2</v>
      </c>
      <c r="G21">
        <v>-91.99</v>
      </c>
      <c r="H21">
        <v>0</v>
      </c>
      <c r="I21">
        <v>0</v>
      </c>
      <c r="J21">
        <v>0</v>
      </c>
      <c r="K21">
        <v>-2.1154000000000011</v>
      </c>
      <c r="L21">
        <v>-1.6153999999999991</v>
      </c>
      <c r="M21">
        <v>-3.5383999999999962</v>
      </c>
      <c r="N21">
        <v>-3.8499999999999979E-2</v>
      </c>
    </row>
    <row r="22" spans="1:14" x14ac:dyDescent="0.3">
      <c r="A22">
        <v>400021467</v>
      </c>
      <c r="B22" t="s">
        <v>31</v>
      </c>
      <c r="C22" t="s">
        <v>40</v>
      </c>
      <c r="D22" t="s">
        <v>41</v>
      </c>
      <c r="E22" t="s">
        <v>17</v>
      </c>
      <c r="F22">
        <v>1</v>
      </c>
      <c r="G22">
        <v>-57.65</v>
      </c>
      <c r="H22">
        <v>0</v>
      </c>
      <c r="I22">
        <v>0</v>
      </c>
      <c r="J22">
        <v>0</v>
      </c>
      <c r="K22">
        <v>-2.3845999999999989</v>
      </c>
      <c r="L22">
        <v>-0.34609999999999991</v>
      </c>
      <c r="M22">
        <v>2.384600000000006</v>
      </c>
      <c r="N22">
        <v>7.6899999999999968E-2</v>
      </c>
    </row>
    <row r="23" spans="1:14" x14ac:dyDescent="0.3">
      <c r="A23">
        <v>400021467</v>
      </c>
      <c r="B23" t="s">
        <v>31</v>
      </c>
      <c r="C23" t="s">
        <v>41</v>
      </c>
      <c r="D23" t="s">
        <v>40</v>
      </c>
      <c r="E23" t="s">
        <v>18</v>
      </c>
      <c r="F23">
        <v>0</v>
      </c>
      <c r="G23">
        <v>57.65</v>
      </c>
      <c r="H23">
        <v>0</v>
      </c>
      <c r="I23">
        <v>0</v>
      </c>
      <c r="J23">
        <v>0</v>
      </c>
      <c r="K23">
        <v>2.3845999999999989</v>
      </c>
      <c r="L23">
        <v>0.34609999999999991</v>
      </c>
      <c r="M23">
        <v>-2.384600000000006</v>
      </c>
      <c r="N23">
        <v>-7.6899999999999968E-2</v>
      </c>
    </row>
    <row r="24" spans="1:14" x14ac:dyDescent="0.3">
      <c r="A24">
        <v>400021474</v>
      </c>
      <c r="B24" t="s">
        <v>42</v>
      </c>
      <c r="C24" t="s">
        <v>43</v>
      </c>
      <c r="D24" t="s">
        <v>44</v>
      </c>
      <c r="E24" t="s">
        <v>17</v>
      </c>
      <c r="F24">
        <v>5</v>
      </c>
      <c r="G24">
        <v>33.380000000000003</v>
      </c>
      <c r="H24">
        <v>0</v>
      </c>
      <c r="I24">
        <v>0</v>
      </c>
      <c r="J24">
        <v>0</v>
      </c>
      <c r="K24">
        <v>-1.8845999999999989</v>
      </c>
      <c r="L24">
        <v>1.0384</v>
      </c>
      <c r="M24">
        <v>1.615399999999994</v>
      </c>
      <c r="N24">
        <v>0.1154000000000001</v>
      </c>
    </row>
    <row r="25" spans="1:14" x14ac:dyDescent="0.3">
      <c r="A25">
        <v>400021474</v>
      </c>
      <c r="B25" t="s">
        <v>42</v>
      </c>
      <c r="C25" t="s">
        <v>44</v>
      </c>
      <c r="D25" t="s">
        <v>43</v>
      </c>
      <c r="E25" t="s">
        <v>18</v>
      </c>
      <c r="F25">
        <v>1</v>
      </c>
      <c r="G25">
        <v>-33.380000000000003</v>
      </c>
      <c r="H25">
        <v>0</v>
      </c>
      <c r="I25">
        <v>0</v>
      </c>
      <c r="J25">
        <v>0</v>
      </c>
      <c r="K25">
        <v>1.8845999999999989</v>
      </c>
      <c r="L25">
        <v>-1.0384</v>
      </c>
      <c r="M25">
        <v>-1.615399999999994</v>
      </c>
      <c r="N25">
        <v>-0.1154000000000001</v>
      </c>
    </row>
    <row r="26" spans="1:14" x14ac:dyDescent="0.3">
      <c r="A26">
        <v>400021482</v>
      </c>
      <c r="B26" t="s">
        <v>42</v>
      </c>
      <c r="C26" t="s">
        <v>45</v>
      </c>
      <c r="D26" t="s">
        <v>46</v>
      </c>
      <c r="E26" t="s">
        <v>17</v>
      </c>
      <c r="F26">
        <v>0</v>
      </c>
      <c r="G26">
        <v>503.6</v>
      </c>
      <c r="H26">
        <v>0</v>
      </c>
      <c r="I26">
        <v>0</v>
      </c>
      <c r="J26">
        <v>0</v>
      </c>
      <c r="K26">
        <v>-0.80770000000000408</v>
      </c>
      <c r="L26">
        <v>1.9615</v>
      </c>
      <c r="M26">
        <v>0.38459999999997763</v>
      </c>
      <c r="N26">
        <v>-0.65379999999999994</v>
      </c>
    </row>
    <row r="27" spans="1:14" x14ac:dyDescent="0.3">
      <c r="A27">
        <v>400021482</v>
      </c>
      <c r="B27" t="s">
        <v>42</v>
      </c>
      <c r="C27" t="s">
        <v>46</v>
      </c>
      <c r="D27" t="s">
        <v>45</v>
      </c>
      <c r="E27" t="s">
        <v>18</v>
      </c>
      <c r="F27">
        <v>0</v>
      </c>
      <c r="G27">
        <v>-503.6</v>
      </c>
      <c r="H27">
        <v>0</v>
      </c>
      <c r="I27">
        <v>0</v>
      </c>
      <c r="J27">
        <v>0</v>
      </c>
      <c r="K27">
        <v>0.80770000000000408</v>
      </c>
      <c r="L27">
        <v>-1.9615</v>
      </c>
      <c r="M27">
        <v>-0.38459999999997763</v>
      </c>
      <c r="N27">
        <v>0.65379999999999994</v>
      </c>
    </row>
    <row r="28" spans="1:14" x14ac:dyDescent="0.3">
      <c r="A28">
        <v>400021478</v>
      </c>
      <c r="B28" t="s">
        <v>42</v>
      </c>
      <c r="C28" t="s">
        <v>47</v>
      </c>
      <c r="D28" t="s">
        <v>48</v>
      </c>
      <c r="E28" t="s">
        <v>17</v>
      </c>
      <c r="F28">
        <v>1</v>
      </c>
      <c r="G28">
        <v>179.87</v>
      </c>
      <c r="H28">
        <v>0</v>
      </c>
      <c r="I28">
        <v>0</v>
      </c>
      <c r="J28">
        <v>0</v>
      </c>
      <c r="K28">
        <v>10.423</v>
      </c>
      <c r="L28">
        <v>3.5</v>
      </c>
      <c r="M28">
        <v>4.6154000000000224</v>
      </c>
      <c r="N28">
        <v>0.53839999999999999</v>
      </c>
    </row>
    <row r="29" spans="1:14" x14ac:dyDescent="0.3">
      <c r="A29">
        <v>400021478</v>
      </c>
      <c r="B29" t="s">
        <v>42</v>
      </c>
      <c r="C29" t="s">
        <v>48</v>
      </c>
      <c r="D29" t="s">
        <v>47</v>
      </c>
      <c r="E29" t="s">
        <v>18</v>
      </c>
      <c r="F29">
        <v>1</v>
      </c>
      <c r="G29">
        <v>-179.87</v>
      </c>
      <c r="H29">
        <v>0</v>
      </c>
      <c r="I29">
        <v>0</v>
      </c>
      <c r="J29">
        <v>0</v>
      </c>
      <c r="K29">
        <v>-10.423</v>
      </c>
      <c r="L29">
        <v>-3.5</v>
      </c>
      <c r="M29">
        <v>-4.6154000000000224</v>
      </c>
      <c r="N29">
        <v>-0.53839999999999999</v>
      </c>
    </row>
    <row r="30" spans="1:14" x14ac:dyDescent="0.3">
      <c r="A30">
        <v>400021486</v>
      </c>
      <c r="B30" t="s">
        <v>42</v>
      </c>
      <c r="C30" t="s">
        <v>49</v>
      </c>
      <c r="D30" t="s">
        <v>50</v>
      </c>
      <c r="E30" t="s">
        <v>17</v>
      </c>
      <c r="F30">
        <v>1</v>
      </c>
      <c r="G30">
        <v>-249.19</v>
      </c>
      <c r="H30">
        <v>0</v>
      </c>
      <c r="I30">
        <v>0</v>
      </c>
      <c r="J30">
        <v>0</v>
      </c>
      <c r="K30">
        <v>0.1154000000000011</v>
      </c>
      <c r="L30">
        <v>0.76929999999999987</v>
      </c>
      <c r="M30">
        <v>-2.0383999999999962</v>
      </c>
      <c r="N30">
        <v>-0.96150000000000002</v>
      </c>
    </row>
    <row r="31" spans="1:14" x14ac:dyDescent="0.3">
      <c r="A31">
        <v>400021486</v>
      </c>
      <c r="B31" t="s">
        <v>42</v>
      </c>
      <c r="C31" t="s">
        <v>50</v>
      </c>
      <c r="D31" t="s">
        <v>49</v>
      </c>
      <c r="E31" t="s">
        <v>18</v>
      </c>
      <c r="F31">
        <v>1</v>
      </c>
      <c r="G31">
        <v>249.19</v>
      </c>
      <c r="H31">
        <v>0</v>
      </c>
      <c r="I31">
        <v>0</v>
      </c>
      <c r="J31">
        <v>0</v>
      </c>
      <c r="K31">
        <v>-0.1154000000000011</v>
      </c>
      <c r="L31">
        <v>-0.76929999999999987</v>
      </c>
      <c r="M31">
        <v>2.0383999999999962</v>
      </c>
      <c r="N31">
        <v>0.96150000000000002</v>
      </c>
    </row>
    <row r="32" spans="1:14" x14ac:dyDescent="0.3">
      <c r="A32">
        <v>400021476</v>
      </c>
      <c r="B32" t="s">
        <v>51</v>
      </c>
      <c r="C32" t="s">
        <v>52</v>
      </c>
      <c r="D32" t="s">
        <v>53</v>
      </c>
      <c r="E32" t="s">
        <v>17</v>
      </c>
      <c r="F32">
        <v>2</v>
      </c>
      <c r="G32">
        <v>344</v>
      </c>
      <c r="H32">
        <v>0</v>
      </c>
      <c r="I32">
        <v>0</v>
      </c>
      <c r="J32">
        <v>0</v>
      </c>
      <c r="K32">
        <v>13.1153</v>
      </c>
      <c r="L32">
        <v>1.5768999999999991</v>
      </c>
      <c r="M32">
        <v>0.57689999999999486</v>
      </c>
      <c r="N32">
        <v>-0.30759999999999998</v>
      </c>
    </row>
    <row r="33" spans="1:14" x14ac:dyDescent="0.3">
      <c r="A33">
        <v>400021476</v>
      </c>
      <c r="B33" t="s">
        <v>51</v>
      </c>
      <c r="C33" t="s">
        <v>53</v>
      </c>
      <c r="D33" t="s">
        <v>52</v>
      </c>
      <c r="E33" t="s">
        <v>18</v>
      </c>
      <c r="F33">
        <v>2</v>
      </c>
      <c r="G33">
        <v>-344</v>
      </c>
      <c r="H33">
        <v>0</v>
      </c>
      <c r="I33">
        <v>0</v>
      </c>
      <c r="J33">
        <v>0</v>
      </c>
      <c r="K33">
        <v>-13.1153</v>
      </c>
      <c r="L33">
        <v>-1.5768999999999991</v>
      </c>
      <c r="M33">
        <v>-0.57689999999999486</v>
      </c>
      <c r="N33">
        <v>0.30759999999999998</v>
      </c>
    </row>
    <row r="34" spans="1:14" x14ac:dyDescent="0.3">
      <c r="A34">
        <v>400021490</v>
      </c>
      <c r="B34" t="s">
        <v>51</v>
      </c>
      <c r="C34" t="s">
        <v>54</v>
      </c>
      <c r="D34" t="s">
        <v>55</v>
      </c>
      <c r="E34" t="s">
        <v>17</v>
      </c>
      <c r="F34">
        <v>3</v>
      </c>
      <c r="G34">
        <v>186.63</v>
      </c>
      <c r="H34">
        <v>0</v>
      </c>
      <c r="I34">
        <v>0</v>
      </c>
      <c r="J34">
        <v>0</v>
      </c>
      <c r="K34">
        <v>-6.0384000000000029</v>
      </c>
      <c r="L34">
        <v>-0.80769999999999964</v>
      </c>
      <c r="M34">
        <v>0.96160000000000423</v>
      </c>
      <c r="N34">
        <v>-0.30769999999999997</v>
      </c>
    </row>
    <row r="35" spans="1:14" x14ac:dyDescent="0.3">
      <c r="A35">
        <v>400021490</v>
      </c>
      <c r="B35" t="s">
        <v>51</v>
      </c>
      <c r="C35" t="s">
        <v>55</v>
      </c>
      <c r="D35" t="s">
        <v>54</v>
      </c>
      <c r="E35" t="s">
        <v>18</v>
      </c>
      <c r="F35">
        <v>1</v>
      </c>
      <c r="G35">
        <v>-186.63</v>
      </c>
      <c r="H35">
        <v>0</v>
      </c>
      <c r="I35">
        <v>0</v>
      </c>
      <c r="J35">
        <v>0</v>
      </c>
      <c r="K35">
        <v>6.0384000000000029</v>
      </c>
      <c r="L35">
        <v>0.80769999999999964</v>
      </c>
      <c r="M35">
        <v>-0.96160000000000423</v>
      </c>
      <c r="N35">
        <v>0.30769999999999997</v>
      </c>
    </row>
    <row r="36" spans="1:14" x14ac:dyDescent="0.3">
      <c r="A36">
        <v>400021488</v>
      </c>
      <c r="B36" t="s">
        <v>51</v>
      </c>
      <c r="C36" t="s">
        <v>56</v>
      </c>
      <c r="D36" t="s">
        <v>57</v>
      </c>
      <c r="E36" t="s">
        <v>17</v>
      </c>
      <c r="F36">
        <v>1</v>
      </c>
      <c r="G36">
        <v>-111.16</v>
      </c>
      <c r="H36">
        <v>0</v>
      </c>
      <c r="I36">
        <v>0</v>
      </c>
      <c r="J36">
        <v>0</v>
      </c>
      <c r="K36">
        <v>-0.69229999999999592</v>
      </c>
      <c r="L36">
        <v>-1.6922999999999999</v>
      </c>
      <c r="M36">
        <v>-4.1152999999999906</v>
      </c>
      <c r="N36">
        <v>-0.23080000000000001</v>
      </c>
    </row>
    <row r="37" spans="1:14" x14ac:dyDescent="0.3">
      <c r="A37">
        <v>400021488</v>
      </c>
      <c r="B37" t="s">
        <v>51</v>
      </c>
      <c r="C37" t="s">
        <v>57</v>
      </c>
      <c r="D37" t="s">
        <v>56</v>
      </c>
      <c r="E37" t="s">
        <v>18</v>
      </c>
      <c r="F37">
        <v>4</v>
      </c>
      <c r="G37">
        <v>111.16</v>
      </c>
      <c r="H37">
        <v>0</v>
      </c>
      <c r="I37">
        <v>0</v>
      </c>
      <c r="J37">
        <v>0</v>
      </c>
      <c r="K37">
        <v>0.69229999999999592</v>
      </c>
      <c r="L37">
        <v>1.6922999999999999</v>
      </c>
      <c r="M37">
        <v>4.1152999999999906</v>
      </c>
      <c r="N37">
        <v>0.23080000000000001</v>
      </c>
    </row>
    <row r="38" spans="1:14" x14ac:dyDescent="0.3">
      <c r="A38">
        <v>400021496</v>
      </c>
      <c r="B38" t="s">
        <v>58</v>
      </c>
      <c r="C38" t="s">
        <v>59</v>
      </c>
      <c r="D38" t="s">
        <v>60</v>
      </c>
      <c r="E38" t="s">
        <v>17</v>
      </c>
      <c r="F38">
        <v>3</v>
      </c>
      <c r="G38">
        <v>306.24</v>
      </c>
      <c r="H38">
        <v>0</v>
      </c>
      <c r="I38">
        <v>0</v>
      </c>
      <c r="J38">
        <v>0</v>
      </c>
      <c r="K38">
        <v>20.807700000000001</v>
      </c>
      <c r="L38">
        <v>4.423</v>
      </c>
      <c r="M38">
        <v>-3.0768999999999949</v>
      </c>
      <c r="N38">
        <v>3.8499999999999979E-2</v>
      </c>
    </row>
    <row r="39" spans="1:14" x14ac:dyDescent="0.3">
      <c r="A39">
        <v>400021496</v>
      </c>
      <c r="B39" t="s">
        <v>58</v>
      </c>
      <c r="C39" t="s">
        <v>60</v>
      </c>
      <c r="D39" t="s">
        <v>59</v>
      </c>
      <c r="E39" t="s">
        <v>18</v>
      </c>
      <c r="F39">
        <v>0</v>
      </c>
      <c r="G39">
        <v>-306.24</v>
      </c>
      <c r="H39">
        <v>0</v>
      </c>
      <c r="I39">
        <v>0</v>
      </c>
      <c r="J39">
        <v>0</v>
      </c>
      <c r="K39">
        <v>-20.807700000000001</v>
      </c>
      <c r="L39">
        <v>-4.423</v>
      </c>
      <c r="M39">
        <v>3.0768999999999949</v>
      </c>
      <c r="N39">
        <v>-3.8499999999999979E-2</v>
      </c>
    </row>
    <row r="40" spans="1:14" x14ac:dyDescent="0.3">
      <c r="A40">
        <v>400021498</v>
      </c>
      <c r="B40" t="s">
        <v>58</v>
      </c>
      <c r="C40" t="s">
        <v>61</v>
      </c>
      <c r="D40" t="s">
        <v>62</v>
      </c>
      <c r="E40" t="s">
        <v>17</v>
      </c>
      <c r="F40">
        <v>3</v>
      </c>
      <c r="G40">
        <v>209.66</v>
      </c>
      <c r="H40">
        <v>0</v>
      </c>
      <c r="I40">
        <v>0</v>
      </c>
      <c r="J40">
        <v>0</v>
      </c>
      <c r="K40">
        <v>-1.6538999999999999</v>
      </c>
      <c r="L40">
        <v>2.3462000000000001</v>
      </c>
      <c r="M40">
        <v>4.6537999999999897</v>
      </c>
      <c r="N40">
        <v>0.34610000000000007</v>
      </c>
    </row>
    <row r="41" spans="1:14" x14ac:dyDescent="0.3">
      <c r="A41">
        <v>400021498</v>
      </c>
      <c r="B41" t="s">
        <v>58</v>
      </c>
      <c r="C41" t="s">
        <v>62</v>
      </c>
      <c r="D41" t="s">
        <v>61</v>
      </c>
      <c r="E41" t="s">
        <v>18</v>
      </c>
      <c r="F41">
        <v>1</v>
      </c>
      <c r="G41">
        <v>-209.66</v>
      </c>
      <c r="H41">
        <v>0</v>
      </c>
      <c r="I41">
        <v>0</v>
      </c>
      <c r="J41">
        <v>0</v>
      </c>
      <c r="K41">
        <v>1.6538999999999999</v>
      </c>
      <c r="L41">
        <v>-2.3462000000000001</v>
      </c>
      <c r="M41">
        <v>-4.6537999999999897</v>
      </c>
      <c r="N41">
        <v>-0.34610000000000007</v>
      </c>
    </row>
    <row r="42" spans="1:14" x14ac:dyDescent="0.3">
      <c r="A42">
        <v>400021502</v>
      </c>
      <c r="B42" t="s">
        <v>58</v>
      </c>
      <c r="C42" t="s">
        <v>63</v>
      </c>
      <c r="D42" t="s">
        <v>64</v>
      </c>
      <c r="E42" t="s">
        <v>17</v>
      </c>
      <c r="F42">
        <v>1</v>
      </c>
      <c r="G42">
        <v>293.42</v>
      </c>
      <c r="H42">
        <v>0</v>
      </c>
      <c r="I42">
        <v>0</v>
      </c>
      <c r="J42">
        <v>0</v>
      </c>
      <c r="K42">
        <v>14.8461</v>
      </c>
      <c r="L42">
        <v>6.9616000000000007</v>
      </c>
      <c r="M42">
        <v>0.5</v>
      </c>
      <c r="N42">
        <v>-0.1923</v>
      </c>
    </row>
    <row r="43" spans="1:14" x14ac:dyDescent="0.3">
      <c r="A43">
        <v>400021502</v>
      </c>
      <c r="B43" t="s">
        <v>58</v>
      </c>
      <c r="C43" t="s">
        <v>64</v>
      </c>
      <c r="D43" t="s">
        <v>63</v>
      </c>
      <c r="E43" t="s">
        <v>18</v>
      </c>
      <c r="F43">
        <v>1</v>
      </c>
      <c r="G43">
        <v>-293.42</v>
      </c>
      <c r="H43">
        <v>0</v>
      </c>
      <c r="I43">
        <v>0</v>
      </c>
      <c r="J43">
        <v>0</v>
      </c>
      <c r="K43">
        <v>-14.8461</v>
      </c>
      <c r="L43">
        <v>-6.9616000000000007</v>
      </c>
      <c r="M43">
        <v>-0.5</v>
      </c>
      <c r="N43">
        <v>0.1923</v>
      </c>
    </row>
    <row r="44" spans="1:14" x14ac:dyDescent="0.3">
      <c r="A44">
        <v>400021507</v>
      </c>
      <c r="B44" t="s">
        <v>58</v>
      </c>
      <c r="C44" t="s">
        <v>65</v>
      </c>
      <c r="D44" t="s">
        <v>66</v>
      </c>
      <c r="E44" t="s">
        <v>17</v>
      </c>
      <c r="F44">
        <v>4</v>
      </c>
      <c r="G44">
        <v>113.15</v>
      </c>
      <c r="H44">
        <v>0</v>
      </c>
      <c r="I44">
        <v>0</v>
      </c>
      <c r="J44">
        <v>0</v>
      </c>
      <c r="K44">
        <v>-9.923099999999998</v>
      </c>
      <c r="L44">
        <v>0.38459999999999978</v>
      </c>
      <c r="M44">
        <v>-0.15380000000001809</v>
      </c>
      <c r="N44">
        <v>-0.73080000000000001</v>
      </c>
    </row>
    <row r="45" spans="1:14" x14ac:dyDescent="0.3">
      <c r="A45">
        <v>400021507</v>
      </c>
      <c r="B45" t="s">
        <v>58</v>
      </c>
      <c r="C45" t="s">
        <v>66</v>
      </c>
      <c r="D45" t="s">
        <v>65</v>
      </c>
      <c r="E45" t="s">
        <v>18</v>
      </c>
      <c r="F45">
        <v>2</v>
      </c>
      <c r="G45">
        <v>-113.15</v>
      </c>
      <c r="H45">
        <v>0</v>
      </c>
      <c r="I45">
        <v>0</v>
      </c>
      <c r="J45">
        <v>0</v>
      </c>
      <c r="K45">
        <v>9.923099999999998</v>
      </c>
      <c r="L45">
        <v>-0.38459999999999978</v>
      </c>
      <c r="M45">
        <v>0.15380000000001809</v>
      </c>
      <c r="N45">
        <v>0.73080000000000001</v>
      </c>
    </row>
    <row r="46" spans="1:14" x14ac:dyDescent="0.3">
      <c r="A46">
        <v>400021510</v>
      </c>
      <c r="B46" t="s">
        <v>58</v>
      </c>
      <c r="C46" t="s">
        <v>67</v>
      </c>
      <c r="D46" t="s">
        <v>68</v>
      </c>
      <c r="E46" t="s">
        <v>17</v>
      </c>
      <c r="F46">
        <v>1</v>
      </c>
      <c r="G46">
        <v>-192.28</v>
      </c>
      <c r="H46">
        <v>0</v>
      </c>
      <c r="I46">
        <v>0</v>
      </c>
      <c r="J46">
        <v>0</v>
      </c>
      <c r="K46">
        <v>-36.730800000000002</v>
      </c>
      <c r="L46">
        <v>-2.1922999999999999</v>
      </c>
      <c r="M46">
        <v>1.0384999999999991</v>
      </c>
      <c r="N46">
        <v>3.839999999999999E-2</v>
      </c>
    </row>
    <row r="47" spans="1:14" x14ac:dyDescent="0.3">
      <c r="A47">
        <v>400021510</v>
      </c>
      <c r="B47" t="s">
        <v>58</v>
      </c>
      <c r="C47" t="s">
        <v>68</v>
      </c>
      <c r="D47" t="s">
        <v>67</v>
      </c>
      <c r="E47" t="s">
        <v>18</v>
      </c>
      <c r="F47">
        <v>0</v>
      </c>
      <c r="G47">
        <v>192.28</v>
      </c>
      <c r="H47">
        <v>0</v>
      </c>
      <c r="I47">
        <v>0</v>
      </c>
      <c r="J47">
        <v>0</v>
      </c>
      <c r="K47">
        <v>36.730800000000002</v>
      </c>
      <c r="L47">
        <v>2.1922999999999999</v>
      </c>
      <c r="M47">
        <v>-1.0384999999999991</v>
      </c>
      <c r="N47">
        <v>-3.839999999999999E-2</v>
      </c>
    </row>
    <row r="48" spans="1:14" x14ac:dyDescent="0.3">
      <c r="A48">
        <v>400021504</v>
      </c>
      <c r="B48" t="s">
        <v>69</v>
      </c>
      <c r="C48" t="s">
        <v>70</v>
      </c>
      <c r="D48" t="s">
        <v>71</v>
      </c>
      <c r="E48" t="s">
        <v>17</v>
      </c>
      <c r="F48">
        <v>1</v>
      </c>
      <c r="G48">
        <v>-239.62</v>
      </c>
      <c r="H48">
        <v>0</v>
      </c>
      <c r="I48">
        <v>0</v>
      </c>
      <c r="J48">
        <v>0</v>
      </c>
      <c r="K48">
        <v>-4.4615000000000009</v>
      </c>
      <c r="L48">
        <v>0.30760000000000082</v>
      </c>
      <c r="M48">
        <v>1.884600000000006</v>
      </c>
      <c r="N48">
        <v>-0.57689999999999997</v>
      </c>
    </row>
    <row r="49" spans="1:14" x14ac:dyDescent="0.3">
      <c r="A49">
        <v>400021504</v>
      </c>
      <c r="B49" t="s">
        <v>69</v>
      </c>
      <c r="C49" t="s">
        <v>71</v>
      </c>
      <c r="D49" t="s">
        <v>70</v>
      </c>
      <c r="E49" t="s">
        <v>18</v>
      </c>
      <c r="F49">
        <v>3</v>
      </c>
      <c r="G49">
        <v>239.62</v>
      </c>
      <c r="H49">
        <v>0</v>
      </c>
      <c r="I49">
        <v>0</v>
      </c>
      <c r="J49">
        <v>0</v>
      </c>
      <c r="K49">
        <v>4.4615000000000009</v>
      </c>
      <c r="L49">
        <v>-0.30760000000000082</v>
      </c>
      <c r="M49">
        <v>-1.884600000000006</v>
      </c>
      <c r="N49">
        <v>0.57689999999999997</v>
      </c>
    </row>
    <row r="50" spans="1:14" x14ac:dyDescent="0.3">
      <c r="A50">
        <v>400021440</v>
      </c>
      <c r="B50" t="s">
        <v>69</v>
      </c>
      <c r="C50" t="s">
        <v>21</v>
      </c>
      <c r="D50" t="s">
        <v>16</v>
      </c>
      <c r="E50" t="s">
        <v>17</v>
      </c>
      <c r="F50">
        <v>1</v>
      </c>
      <c r="G50">
        <v>77.36</v>
      </c>
      <c r="H50">
        <v>0</v>
      </c>
      <c r="I50">
        <v>0.5</v>
      </c>
      <c r="J50">
        <v>0</v>
      </c>
      <c r="K50">
        <v>6.8553999999999986</v>
      </c>
      <c r="L50">
        <v>1.2061999999999999</v>
      </c>
      <c r="M50">
        <v>6.8108000000000004</v>
      </c>
      <c r="N50">
        <v>6.6199999999999981E-2</v>
      </c>
    </row>
    <row r="51" spans="1:14" x14ac:dyDescent="0.3">
      <c r="A51">
        <v>400021440</v>
      </c>
      <c r="B51" t="s">
        <v>69</v>
      </c>
      <c r="C51" t="s">
        <v>16</v>
      </c>
      <c r="D51" t="s">
        <v>21</v>
      </c>
      <c r="E51" t="s">
        <v>18</v>
      </c>
      <c r="F51">
        <v>1</v>
      </c>
      <c r="G51">
        <v>-77.36</v>
      </c>
      <c r="H51">
        <v>0</v>
      </c>
      <c r="I51">
        <v>-0.5</v>
      </c>
      <c r="J51">
        <v>0</v>
      </c>
      <c r="K51">
        <v>-6.8553999999999986</v>
      </c>
      <c r="L51">
        <v>-1.2061999999999999</v>
      </c>
      <c r="M51">
        <v>-6.8108000000000004</v>
      </c>
      <c r="N51">
        <v>-6.6199999999999981E-2</v>
      </c>
    </row>
    <row r="52" spans="1:14" x14ac:dyDescent="0.3">
      <c r="A52">
        <v>400021446</v>
      </c>
      <c r="B52" t="s">
        <v>69</v>
      </c>
      <c r="C52" t="s">
        <v>28</v>
      </c>
      <c r="D52" t="s">
        <v>23</v>
      </c>
      <c r="E52" t="s">
        <v>17</v>
      </c>
      <c r="F52">
        <v>4</v>
      </c>
      <c r="G52">
        <v>262.83999999999997</v>
      </c>
      <c r="H52">
        <v>0</v>
      </c>
      <c r="I52">
        <v>0</v>
      </c>
      <c r="J52">
        <v>0</v>
      </c>
      <c r="K52">
        <v>21.884599999999999</v>
      </c>
      <c r="L52">
        <v>1.423</v>
      </c>
      <c r="M52">
        <v>-1.846100000000007</v>
      </c>
      <c r="N52">
        <v>-3.839999999999999E-2</v>
      </c>
    </row>
    <row r="53" spans="1:14" x14ac:dyDescent="0.3">
      <c r="A53">
        <v>400021446</v>
      </c>
      <c r="B53" t="s">
        <v>69</v>
      </c>
      <c r="C53" t="s">
        <v>23</v>
      </c>
      <c r="D53" t="s">
        <v>28</v>
      </c>
      <c r="E53" t="s">
        <v>18</v>
      </c>
      <c r="F53">
        <v>1</v>
      </c>
      <c r="G53">
        <v>-262.83999999999997</v>
      </c>
      <c r="H53">
        <v>0</v>
      </c>
      <c r="I53">
        <v>0</v>
      </c>
      <c r="J53">
        <v>0</v>
      </c>
      <c r="K53">
        <v>-21.884599999999999</v>
      </c>
      <c r="L53">
        <v>-1.423</v>
      </c>
      <c r="M53">
        <v>1.846100000000007</v>
      </c>
      <c r="N53">
        <v>3.839999999999999E-2</v>
      </c>
    </row>
    <row r="54" spans="1:14" x14ac:dyDescent="0.3">
      <c r="A54">
        <v>400021450</v>
      </c>
      <c r="B54" t="s">
        <v>69</v>
      </c>
      <c r="C54" t="s">
        <v>22</v>
      </c>
      <c r="D54" t="s">
        <v>27</v>
      </c>
      <c r="E54" t="s">
        <v>17</v>
      </c>
      <c r="F54">
        <v>6</v>
      </c>
      <c r="G54">
        <v>109.17</v>
      </c>
      <c r="H54">
        <v>1</v>
      </c>
      <c r="I54">
        <v>0</v>
      </c>
      <c r="J54">
        <v>0</v>
      </c>
      <c r="K54">
        <v>-22.3462</v>
      </c>
      <c r="L54">
        <v>-2.9230999999999998</v>
      </c>
      <c r="M54">
        <v>2.9231000000000051</v>
      </c>
      <c r="N54">
        <v>0.88460000000000005</v>
      </c>
    </row>
    <row r="55" spans="1:14" x14ac:dyDescent="0.3">
      <c r="A55">
        <v>400021450</v>
      </c>
      <c r="B55" t="s">
        <v>69</v>
      </c>
      <c r="C55" t="s">
        <v>27</v>
      </c>
      <c r="D55" t="s">
        <v>22</v>
      </c>
      <c r="E55" t="s">
        <v>18</v>
      </c>
      <c r="F55">
        <v>0</v>
      </c>
      <c r="G55">
        <v>-109.17</v>
      </c>
      <c r="H55">
        <v>-1</v>
      </c>
      <c r="I55">
        <v>0</v>
      </c>
      <c r="J55">
        <v>0</v>
      </c>
      <c r="K55">
        <v>22.3462</v>
      </c>
      <c r="L55">
        <v>2.9230999999999998</v>
      </c>
      <c r="M55">
        <v>-2.9231000000000051</v>
      </c>
      <c r="N55">
        <v>-0.88460000000000005</v>
      </c>
    </row>
    <row r="56" spans="1:14" x14ac:dyDescent="0.3">
      <c r="A56">
        <v>400021442</v>
      </c>
      <c r="B56" t="s">
        <v>72</v>
      </c>
      <c r="C56" t="s">
        <v>15</v>
      </c>
      <c r="D56" t="s">
        <v>20</v>
      </c>
      <c r="E56" t="s">
        <v>17</v>
      </c>
      <c r="F56">
        <v>1</v>
      </c>
      <c r="G56">
        <v>95.85</v>
      </c>
      <c r="H56">
        <v>1</v>
      </c>
      <c r="I56">
        <v>0</v>
      </c>
      <c r="J56">
        <v>-0.5</v>
      </c>
      <c r="K56">
        <v>11.3462</v>
      </c>
      <c r="L56">
        <v>-0.65390000000000015</v>
      </c>
      <c r="M56">
        <v>-2.4231000000000051</v>
      </c>
      <c r="N56">
        <v>-0.1923</v>
      </c>
    </row>
    <row r="57" spans="1:14" x14ac:dyDescent="0.3">
      <c r="A57">
        <v>400021442</v>
      </c>
      <c r="B57" t="s">
        <v>72</v>
      </c>
      <c r="C57" t="s">
        <v>20</v>
      </c>
      <c r="D57" t="s">
        <v>15</v>
      </c>
      <c r="E57" t="s">
        <v>18</v>
      </c>
      <c r="F57">
        <v>0</v>
      </c>
      <c r="G57">
        <v>-95.85</v>
      </c>
      <c r="H57">
        <v>-1</v>
      </c>
      <c r="I57">
        <v>0</v>
      </c>
      <c r="J57">
        <v>0.5</v>
      </c>
      <c r="K57">
        <v>-11.3462</v>
      </c>
      <c r="L57">
        <v>0.65390000000000015</v>
      </c>
      <c r="M57">
        <v>2.4231000000000051</v>
      </c>
      <c r="N57">
        <v>0.1923</v>
      </c>
    </row>
    <row r="58" spans="1:14" x14ac:dyDescent="0.3">
      <c r="A58">
        <v>400021462</v>
      </c>
      <c r="B58" t="s">
        <v>72</v>
      </c>
      <c r="C58" t="s">
        <v>25</v>
      </c>
      <c r="D58" t="s">
        <v>34</v>
      </c>
      <c r="E58" t="s">
        <v>17</v>
      </c>
      <c r="F58">
        <v>2</v>
      </c>
      <c r="G58">
        <v>91.89</v>
      </c>
      <c r="H58">
        <v>1</v>
      </c>
      <c r="I58">
        <v>1</v>
      </c>
      <c r="J58">
        <v>0.5</v>
      </c>
      <c r="K58">
        <v>9.2692000000000014</v>
      </c>
      <c r="L58">
        <v>2.269200000000001</v>
      </c>
      <c r="M58">
        <v>-0.19229999999998881</v>
      </c>
      <c r="N58">
        <v>-7.6899999999999968E-2</v>
      </c>
    </row>
    <row r="59" spans="1:14" x14ac:dyDescent="0.3">
      <c r="A59">
        <v>400021462</v>
      </c>
      <c r="B59" t="s">
        <v>72</v>
      </c>
      <c r="C59" t="s">
        <v>34</v>
      </c>
      <c r="D59" t="s">
        <v>25</v>
      </c>
      <c r="E59" t="s">
        <v>18</v>
      </c>
      <c r="F59">
        <v>0</v>
      </c>
      <c r="G59">
        <v>-91.89</v>
      </c>
      <c r="H59">
        <v>-1</v>
      </c>
      <c r="I59">
        <v>-1</v>
      </c>
      <c r="J59">
        <v>-0.5</v>
      </c>
      <c r="K59">
        <v>-9.2692000000000014</v>
      </c>
      <c r="L59">
        <v>-2.269200000000001</v>
      </c>
      <c r="M59">
        <v>0.19229999999998881</v>
      </c>
      <c r="N59">
        <v>7.6899999999999968E-2</v>
      </c>
    </row>
    <row r="60" spans="1:14" x14ac:dyDescent="0.3">
      <c r="A60">
        <v>400021454</v>
      </c>
      <c r="B60" t="s">
        <v>72</v>
      </c>
      <c r="C60" t="s">
        <v>33</v>
      </c>
      <c r="D60" t="s">
        <v>30</v>
      </c>
      <c r="E60" t="s">
        <v>17</v>
      </c>
      <c r="F60">
        <v>0</v>
      </c>
      <c r="G60">
        <v>-251.76</v>
      </c>
      <c r="H60">
        <v>0</v>
      </c>
      <c r="I60">
        <v>0</v>
      </c>
      <c r="J60">
        <v>-0.5</v>
      </c>
      <c r="K60">
        <v>8.4229999999999983</v>
      </c>
      <c r="L60">
        <v>-0.38460000000000027</v>
      </c>
      <c r="M60">
        <v>2.0768999999999949</v>
      </c>
      <c r="N60">
        <v>-0.23080000000000001</v>
      </c>
    </row>
    <row r="61" spans="1:14" x14ac:dyDescent="0.3">
      <c r="A61">
        <v>400021454</v>
      </c>
      <c r="B61" t="s">
        <v>72</v>
      </c>
      <c r="C61" t="s">
        <v>30</v>
      </c>
      <c r="D61" t="s">
        <v>33</v>
      </c>
      <c r="E61" t="s">
        <v>18</v>
      </c>
      <c r="F61">
        <v>1</v>
      </c>
      <c r="G61">
        <v>251.76</v>
      </c>
      <c r="H61">
        <v>0</v>
      </c>
      <c r="I61">
        <v>0</v>
      </c>
      <c r="J61">
        <v>0.5</v>
      </c>
      <c r="K61">
        <v>-8.4229999999999983</v>
      </c>
      <c r="L61">
        <v>0.38460000000000027</v>
      </c>
      <c r="M61">
        <v>-2.0768999999999949</v>
      </c>
      <c r="N61">
        <v>0.23080000000000001</v>
      </c>
    </row>
    <row r="62" spans="1:14" x14ac:dyDescent="0.3">
      <c r="A62">
        <v>400021457</v>
      </c>
      <c r="B62" t="s">
        <v>73</v>
      </c>
      <c r="C62" t="s">
        <v>29</v>
      </c>
      <c r="D62" t="s">
        <v>32</v>
      </c>
      <c r="E62" t="s">
        <v>17</v>
      </c>
      <c r="F62">
        <v>3</v>
      </c>
      <c r="G62">
        <v>472.76</v>
      </c>
      <c r="H62">
        <v>0</v>
      </c>
      <c r="I62">
        <v>0.5</v>
      </c>
      <c r="J62">
        <v>0</v>
      </c>
      <c r="K62">
        <v>12.269299999999999</v>
      </c>
      <c r="L62">
        <v>1.7693000000000001</v>
      </c>
      <c r="M62">
        <v>1.5384999999999991</v>
      </c>
      <c r="N62">
        <v>-0.23069999999999999</v>
      </c>
    </row>
    <row r="63" spans="1:14" x14ac:dyDescent="0.3">
      <c r="A63">
        <v>400021457</v>
      </c>
      <c r="B63" t="s">
        <v>73</v>
      </c>
      <c r="C63" t="s">
        <v>32</v>
      </c>
      <c r="D63" t="s">
        <v>29</v>
      </c>
      <c r="E63" t="s">
        <v>18</v>
      </c>
      <c r="F63">
        <v>0</v>
      </c>
      <c r="G63">
        <v>-472.76</v>
      </c>
      <c r="H63">
        <v>0</v>
      </c>
      <c r="I63">
        <v>-0.5</v>
      </c>
      <c r="J63">
        <v>0</v>
      </c>
      <c r="K63">
        <v>-12.269299999999999</v>
      </c>
      <c r="L63">
        <v>-1.7693000000000001</v>
      </c>
      <c r="M63">
        <v>-1.5384999999999991</v>
      </c>
      <c r="N63">
        <v>0.23069999999999999</v>
      </c>
    </row>
    <row r="64" spans="1:14" x14ac:dyDescent="0.3">
      <c r="A64">
        <v>400021460</v>
      </c>
      <c r="B64" t="s">
        <v>73</v>
      </c>
      <c r="C64" t="s">
        <v>35</v>
      </c>
      <c r="D64" t="s">
        <v>26</v>
      </c>
      <c r="E64" t="s">
        <v>17</v>
      </c>
      <c r="F64">
        <v>0</v>
      </c>
      <c r="G64">
        <v>100.38</v>
      </c>
      <c r="H64">
        <v>0</v>
      </c>
      <c r="I64">
        <v>-0.5</v>
      </c>
      <c r="J64">
        <v>-1</v>
      </c>
      <c r="K64">
        <v>9.6922999999999995</v>
      </c>
      <c r="L64">
        <v>1.6923999999999999</v>
      </c>
      <c r="M64">
        <v>2.1538000000000181</v>
      </c>
      <c r="N64">
        <v>-0.46150000000000008</v>
      </c>
    </row>
    <row r="65" spans="1:14" x14ac:dyDescent="0.3">
      <c r="A65">
        <v>400021460</v>
      </c>
      <c r="B65" t="s">
        <v>73</v>
      </c>
      <c r="C65" t="s">
        <v>26</v>
      </c>
      <c r="D65" t="s">
        <v>35</v>
      </c>
      <c r="E65" t="s">
        <v>18</v>
      </c>
      <c r="F65">
        <v>1</v>
      </c>
      <c r="G65">
        <v>-100.38</v>
      </c>
      <c r="H65">
        <v>0</v>
      </c>
      <c r="I65">
        <v>0.5</v>
      </c>
      <c r="J65">
        <v>1</v>
      </c>
      <c r="K65">
        <v>-9.6922999999999995</v>
      </c>
      <c r="L65">
        <v>-1.6923999999999999</v>
      </c>
      <c r="M65">
        <v>-2.1538000000000181</v>
      </c>
      <c r="N65">
        <v>0.46150000000000008</v>
      </c>
    </row>
    <row r="66" spans="1:14" x14ac:dyDescent="0.3">
      <c r="A66">
        <v>400021472</v>
      </c>
      <c r="B66" t="s">
        <v>73</v>
      </c>
      <c r="C66" t="s">
        <v>38</v>
      </c>
      <c r="D66" t="s">
        <v>43</v>
      </c>
      <c r="E66" t="s">
        <v>17</v>
      </c>
      <c r="F66">
        <v>5</v>
      </c>
      <c r="G66">
        <v>243.78</v>
      </c>
      <c r="H66">
        <v>0</v>
      </c>
      <c r="I66">
        <v>-1.5</v>
      </c>
      <c r="J66">
        <v>0.5</v>
      </c>
      <c r="K66">
        <v>13.3462</v>
      </c>
      <c r="L66">
        <v>3.5</v>
      </c>
      <c r="M66">
        <v>-1.0384999999999991</v>
      </c>
      <c r="N66">
        <v>3.8499999999999979E-2</v>
      </c>
    </row>
    <row r="67" spans="1:14" x14ac:dyDescent="0.3">
      <c r="A67">
        <v>400021472</v>
      </c>
      <c r="B67" t="s">
        <v>73</v>
      </c>
      <c r="C67" t="s">
        <v>43</v>
      </c>
      <c r="D67" t="s">
        <v>38</v>
      </c>
      <c r="E67" t="s">
        <v>18</v>
      </c>
      <c r="F67">
        <v>1</v>
      </c>
      <c r="G67">
        <v>-243.78</v>
      </c>
      <c r="H67">
        <v>0</v>
      </c>
      <c r="I67">
        <v>1.5</v>
      </c>
      <c r="J67">
        <v>-0.5</v>
      </c>
      <c r="K67">
        <v>-13.3462</v>
      </c>
      <c r="L67">
        <v>-3.5</v>
      </c>
      <c r="M67">
        <v>1.0384999999999991</v>
      </c>
      <c r="N67">
        <v>-3.8499999999999979E-2</v>
      </c>
    </row>
    <row r="68" spans="1:14" x14ac:dyDescent="0.3">
      <c r="A68">
        <v>400021469</v>
      </c>
      <c r="B68" t="s">
        <v>73</v>
      </c>
      <c r="C68" t="s">
        <v>36</v>
      </c>
      <c r="D68" t="s">
        <v>40</v>
      </c>
      <c r="E68" t="s">
        <v>17</v>
      </c>
      <c r="F68">
        <v>2</v>
      </c>
      <c r="G68">
        <v>194.9</v>
      </c>
      <c r="H68">
        <v>0</v>
      </c>
      <c r="I68">
        <v>3</v>
      </c>
      <c r="J68">
        <v>0.5</v>
      </c>
      <c r="K68">
        <v>5.3460999999999999</v>
      </c>
      <c r="L68">
        <v>1.1153</v>
      </c>
      <c r="M68">
        <v>3.2691999999999841</v>
      </c>
      <c r="N68">
        <v>-0.73080000000000001</v>
      </c>
    </row>
    <row r="69" spans="1:14" x14ac:dyDescent="0.3">
      <c r="A69">
        <v>400021469</v>
      </c>
      <c r="B69" t="s">
        <v>73</v>
      </c>
      <c r="C69" t="s">
        <v>40</v>
      </c>
      <c r="D69" t="s">
        <v>36</v>
      </c>
      <c r="E69" t="s">
        <v>18</v>
      </c>
      <c r="F69">
        <v>1</v>
      </c>
      <c r="G69">
        <v>-194.9</v>
      </c>
      <c r="H69">
        <v>0</v>
      </c>
      <c r="I69">
        <v>-3</v>
      </c>
      <c r="J69">
        <v>-0.5</v>
      </c>
      <c r="K69">
        <v>-5.3460999999999999</v>
      </c>
      <c r="L69">
        <v>-1.1153</v>
      </c>
      <c r="M69">
        <v>-3.2691999999999841</v>
      </c>
      <c r="N69">
        <v>0.73080000000000001</v>
      </c>
    </row>
    <row r="70" spans="1:14" x14ac:dyDescent="0.3">
      <c r="A70">
        <v>400021465</v>
      </c>
      <c r="B70" t="s">
        <v>74</v>
      </c>
      <c r="C70" t="s">
        <v>41</v>
      </c>
      <c r="D70" t="s">
        <v>37</v>
      </c>
      <c r="E70" t="s">
        <v>17</v>
      </c>
      <c r="F70">
        <v>0</v>
      </c>
      <c r="G70">
        <v>303.75</v>
      </c>
      <c r="H70">
        <v>0</v>
      </c>
      <c r="I70">
        <v>-0.5</v>
      </c>
      <c r="J70">
        <v>-3</v>
      </c>
      <c r="K70">
        <v>6.3461999999999996</v>
      </c>
      <c r="L70">
        <v>0.88459999999999983</v>
      </c>
      <c r="M70">
        <v>-1.384600000000006</v>
      </c>
      <c r="N70">
        <v>-7.6899999999999968E-2</v>
      </c>
    </row>
    <row r="71" spans="1:14" x14ac:dyDescent="0.3">
      <c r="A71">
        <v>400021465</v>
      </c>
      <c r="B71" t="s">
        <v>74</v>
      </c>
      <c r="C71" t="s">
        <v>37</v>
      </c>
      <c r="D71" t="s">
        <v>41</v>
      </c>
      <c r="E71" t="s">
        <v>18</v>
      </c>
      <c r="F71">
        <v>0</v>
      </c>
      <c r="G71">
        <v>-303.75</v>
      </c>
      <c r="H71">
        <v>0</v>
      </c>
      <c r="I71">
        <v>0.5</v>
      </c>
      <c r="J71">
        <v>3</v>
      </c>
      <c r="K71">
        <v>-6.3461999999999996</v>
      </c>
      <c r="L71">
        <v>-0.88459999999999983</v>
      </c>
      <c r="M71">
        <v>1.384600000000006</v>
      </c>
      <c r="N71">
        <v>7.6899999999999968E-2</v>
      </c>
    </row>
    <row r="72" spans="1:14" x14ac:dyDescent="0.3">
      <c r="A72">
        <v>400021475</v>
      </c>
      <c r="B72" t="s">
        <v>74</v>
      </c>
      <c r="C72" t="s">
        <v>44</v>
      </c>
      <c r="D72" t="s">
        <v>39</v>
      </c>
      <c r="E72" t="s">
        <v>17</v>
      </c>
      <c r="F72">
        <v>0</v>
      </c>
      <c r="G72">
        <v>-185.17</v>
      </c>
      <c r="H72">
        <v>0</v>
      </c>
      <c r="I72">
        <v>-0.5</v>
      </c>
      <c r="J72">
        <v>1.5</v>
      </c>
      <c r="K72">
        <v>-9.3461999999999996</v>
      </c>
      <c r="L72">
        <v>-2.923</v>
      </c>
      <c r="M72">
        <v>2.9615000000000009</v>
      </c>
      <c r="N72">
        <v>-0.1154000000000001</v>
      </c>
    </row>
    <row r="73" spans="1:14" x14ac:dyDescent="0.3">
      <c r="A73">
        <v>400021475</v>
      </c>
      <c r="B73" t="s">
        <v>74</v>
      </c>
      <c r="C73" t="s">
        <v>39</v>
      </c>
      <c r="D73" t="s">
        <v>44</v>
      </c>
      <c r="E73" t="s">
        <v>18</v>
      </c>
      <c r="F73">
        <v>4</v>
      </c>
      <c r="G73">
        <v>185.17</v>
      </c>
      <c r="H73">
        <v>0</v>
      </c>
      <c r="I73">
        <v>0.5</v>
      </c>
      <c r="J73">
        <v>-1.5</v>
      </c>
      <c r="K73">
        <v>9.3461999999999996</v>
      </c>
      <c r="L73">
        <v>2.923</v>
      </c>
      <c r="M73">
        <v>-2.9615000000000009</v>
      </c>
      <c r="N73">
        <v>0.1154000000000001</v>
      </c>
    </row>
    <row r="74" spans="1:14" x14ac:dyDescent="0.3">
      <c r="A74">
        <v>400021483</v>
      </c>
      <c r="B74" t="s">
        <v>74</v>
      </c>
      <c r="C74" t="s">
        <v>45</v>
      </c>
      <c r="D74" t="s">
        <v>49</v>
      </c>
      <c r="E74" t="s">
        <v>17</v>
      </c>
      <c r="F74">
        <v>4</v>
      </c>
      <c r="G74">
        <v>450.83</v>
      </c>
      <c r="H74">
        <v>0</v>
      </c>
      <c r="I74">
        <v>-0.5</v>
      </c>
      <c r="J74">
        <v>-0.5</v>
      </c>
      <c r="K74">
        <v>-4.076900000000002</v>
      </c>
      <c r="L74">
        <v>1.2692000000000001</v>
      </c>
      <c r="M74">
        <v>3.3076999999999832</v>
      </c>
      <c r="N74">
        <v>0.30769999999999997</v>
      </c>
    </row>
    <row r="75" spans="1:14" x14ac:dyDescent="0.3">
      <c r="A75">
        <v>400021483</v>
      </c>
      <c r="B75" t="s">
        <v>74</v>
      </c>
      <c r="C75" t="s">
        <v>49</v>
      </c>
      <c r="D75" t="s">
        <v>45</v>
      </c>
      <c r="E75" t="s">
        <v>18</v>
      </c>
      <c r="F75">
        <v>0</v>
      </c>
      <c r="G75">
        <v>-450.83</v>
      </c>
      <c r="H75">
        <v>0</v>
      </c>
      <c r="I75">
        <v>0.5</v>
      </c>
      <c r="J75">
        <v>0.5</v>
      </c>
      <c r="K75">
        <v>4.076900000000002</v>
      </c>
      <c r="L75">
        <v>-1.2692000000000001</v>
      </c>
      <c r="M75">
        <v>-3.3076999999999832</v>
      </c>
      <c r="N75">
        <v>-0.30769999999999997</v>
      </c>
    </row>
    <row r="76" spans="1:14" x14ac:dyDescent="0.3">
      <c r="A76">
        <v>400021477</v>
      </c>
      <c r="B76" t="s">
        <v>74</v>
      </c>
      <c r="C76" t="s">
        <v>47</v>
      </c>
      <c r="D76" t="s">
        <v>52</v>
      </c>
      <c r="E76" t="s">
        <v>17</v>
      </c>
      <c r="F76">
        <v>0</v>
      </c>
      <c r="G76">
        <v>122.66</v>
      </c>
      <c r="H76">
        <v>0</v>
      </c>
      <c r="I76">
        <v>-0.5</v>
      </c>
      <c r="J76">
        <v>-0.5</v>
      </c>
      <c r="K76">
        <v>-1.5</v>
      </c>
      <c r="L76">
        <v>2.9231000000000011</v>
      </c>
      <c r="M76">
        <v>2.153900000000021</v>
      </c>
      <c r="N76">
        <v>0.53839999999999999</v>
      </c>
    </row>
    <row r="77" spans="1:14" x14ac:dyDescent="0.3">
      <c r="A77">
        <v>400021477</v>
      </c>
      <c r="B77" t="s">
        <v>74</v>
      </c>
      <c r="C77" t="s">
        <v>52</v>
      </c>
      <c r="D77" t="s">
        <v>47</v>
      </c>
      <c r="E77" t="s">
        <v>18</v>
      </c>
      <c r="F77">
        <v>0</v>
      </c>
      <c r="G77">
        <v>-122.66</v>
      </c>
      <c r="H77">
        <v>0</v>
      </c>
      <c r="I77">
        <v>0.5</v>
      </c>
      <c r="J77">
        <v>0.5</v>
      </c>
      <c r="K77">
        <v>1.5</v>
      </c>
      <c r="L77">
        <v>-2.9231000000000011</v>
      </c>
      <c r="M77">
        <v>-2.153900000000021</v>
      </c>
      <c r="N77">
        <v>-0.53839999999999999</v>
      </c>
    </row>
    <row r="78" spans="1:14" x14ac:dyDescent="0.3">
      <c r="A78">
        <v>400021487</v>
      </c>
      <c r="B78" t="s">
        <v>74</v>
      </c>
      <c r="C78" t="s">
        <v>50</v>
      </c>
      <c r="D78" t="s">
        <v>46</v>
      </c>
      <c r="E78" t="s">
        <v>17</v>
      </c>
      <c r="F78">
        <v>2</v>
      </c>
      <c r="G78">
        <v>301.95999999999998</v>
      </c>
      <c r="H78">
        <v>0</v>
      </c>
      <c r="I78">
        <v>0.5</v>
      </c>
      <c r="J78">
        <v>0.5</v>
      </c>
      <c r="K78">
        <v>3.1537999999999968</v>
      </c>
      <c r="L78">
        <v>-7.6999999999999957E-2</v>
      </c>
      <c r="M78">
        <v>-0.88470000000000937</v>
      </c>
      <c r="N78">
        <v>0</v>
      </c>
    </row>
    <row r="79" spans="1:14" x14ac:dyDescent="0.3">
      <c r="A79">
        <v>400021487</v>
      </c>
      <c r="B79" t="s">
        <v>74</v>
      </c>
      <c r="C79" t="s">
        <v>46</v>
      </c>
      <c r="D79" t="s">
        <v>50</v>
      </c>
      <c r="E79" t="s">
        <v>18</v>
      </c>
      <c r="F79">
        <v>2</v>
      </c>
      <c r="G79">
        <v>-301.95999999999998</v>
      </c>
      <c r="H79">
        <v>0</v>
      </c>
      <c r="I79">
        <v>-0.5</v>
      </c>
      <c r="J79">
        <v>-0.5</v>
      </c>
      <c r="K79">
        <v>-3.1537999999999968</v>
      </c>
      <c r="L79">
        <v>7.6999999999999957E-2</v>
      </c>
      <c r="M79">
        <v>0.88470000000000937</v>
      </c>
      <c r="N79">
        <v>0</v>
      </c>
    </row>
    <row r="80" spans="1:14" x14ac:dyDescent="0.3">
      <c r="A80">
        <v>400021480</v>
      </c>
      <c r="B80" t="s">
        <v>75</v>
      </c>
      <c r="C80" t="s">
        <v>53</v>
      </c>
      <c r="D80" t="s">
        <v>48</v>
      </c>
      <c r="E80" t="s">
        <v>17</v>
      </c>
      <c r="F80">
        <v>1</v>
      </c>
      <c r="G80">
        <v>-286.79000000000002</v>
      </c>
      <c r="H80">
        <v>0</v>
      </c>
      <c r="I80">
        <v>0.5</v>
      </c>
      <c r="J80">
        <v>0.5</v>
      </c>
      <c r="K80">
        <v>-1.1922999999999959</v>
      </c>
      <c r="L80">
        <v>-1</v>
      </c>
      <c r="M80">
        <v>1.884600000000006</v>
      </c>
      <c r="N80">
        <v>0.30759999999999998</v>
      </c>
    </row>
    <row r="81" spans="1:14" x14ac:dyDescent="0.3">
      <c r="A81">
        <v>400021480</v>
      </c>
      <c r="B81" t="s">
        <v>75</v>
      </c>
      <c r="C81" t="s">
        <v>48</v>
      </c>
      <c r="D81" t="s">
        <v>53</v>
      </c>
      <c r="E81" t="s">
        <v>18</v>
      </c>
      <c r="F81">
        <v>3</v>
      </c>
      <c r="G81">
        <v>286.79000000000002</v>
      </c>
      <c r="H81">
        <v>0</v>
      </c>
      <c r="I81">
        <v>-0.5</v>
      </c>
      <c r="J81">
        <v>-0.5</v>
      </c>
      <c r="K81">
        <v>1.1922999999999959</v>
      </c>
      <c r="L81">
        <v>1</v>
      </c>
      <c r="M81">
        <v>-1.884600000000006</v>
      </c>
      <c r="N81">
        <v>-0.30759999999999998</v>
      </c>
    </row>
    <row r="82" spans="1:14" x14ac:dyDescent="0.3">
      <c r="A82">
        <v>400021494</v>
      </c>
      <c r="B82" t="s">
        <v>75</v>
      </c>
      <c r="C82" t="s">
        <v>59</v>
      </c>
      <c r="D82" t="s">
        <v>61</v>
      </c>
      <c r="E82" t="s">
        <v>17</v>
      </c>
      <c r="F82">
        <v>2</v>
      </c>
      <c r="G82">
        <v>279.87</v>
      </c>
      <c r="H82">
        <v>0</v>
      </c>
      <c r="I82">
        <v>0</v>
      </c>
      <c r="J82">
        <v>-0.5</v>
      </c>
      <c r="K82">
        <v>12.038500000000001</v>
      </c>
      <c r="L82">
        <v>3.3460999999999999</v>
      </c>
      <c r="M82">
        <v>-5.384600000000006</v>
      </c>
      <c r="N82">
        <v>3.8499999999999979E-2</v>
      </c>
    </row>
    <row r="83" spans="1:14" x14ac:dyDescent="0.3">
      <c r="A83">
        <v>400021494</v>
      </c>
      <c r="B83" t="s">
        <v>75</v>
      </c>
      <c r="C83" t="s">
        <v>61</v>
      </c>
      <c r="D83" t="s">
        <v>59</v>
      </c>
      <c r="E83" t="s">
        <v>18</v>
      </c>
      <c r="F83">
        <v>0</v>
      </c>
      <c r="G83">
        <v>-279.87</v>
      </c>
      <c r="H83">
        <v>0</v>
      </c>
      <c r="I83">
        <v>0</v>
      </c>
      <c r="J83">
        <v>0.5</v>
      </c>
      <c r="K83">
        <v>-12.038500000000001</v>
      </c>
      <c r="L83">
        <v>-3.3460999999999999</v>
      </c>
      <c r="M83">
        <v>5.384600000000006</v>
      </c>
      <c r="N83">
        <v>-3.8499999999999979E-2</v>
      </c>
    </row>
    <row r="84" spans="1:14" x14ac:dyDescent="0.3">
      <c r="A84">
        <v>400021492</v>
      </c>
      <c r="B84" t="s">
        <v>75</v>
      </c>
      <c r="C84" t="s">
        <v>54</v>
      </c>
      <c r="D84" t="s">
        <v>56</v>
      </c>
      <c r="E84" t="s">
        <v>17</v>
      </c>
      <c r="F84">
        <v>3</v>
      </c>
      <c r="G84">
        <v>424.42</v>
      </c>
      <c r="H84">
        <v>0</v>
      </c>
      <c r="I84">
        <v>1</v>
      </c>
      <c r="J84">
        <v>-1.5</v>
      </c>
      <c r="K84">
        <v>1.807699999999997</v>
      </c>
      <c r="L84">
        <v>1.1922999999999999</v>
      </c>
      <c r="M84">
        <v>1.884600000000006</v>
      </c>
      <c r="N84">
        <v>7.6900000000000079E-2</v>
      </c>
    </row>
    <row r="85" spans="1:14" x14ac:dyDescent="0.3">
      <c r="A85">
        <v>400021492</v>
      </c>
      <c r="B85" t="s">
        <v>75</v>
      </c>
      <c r="C85" t="s">
        <v>56</v>
      </c>
      <c r="D85" t="s">
        <v>54</v>
      </c>
      <c r="E85" t="s">
        <v>18</v>
      </c>
      <c r="F85">
        <v>0</v>
      </c>
      <c r="G85">
        <v>-424.42</v>
      </c>
      <c r="H85">
        <v>0</v>
      </c>
      <c r="I85">
        <v>-1</v>
      </c>
      <c r="J85">
        <v>1.5</v>
      </c>
      <c r="K85">
        <v>-1.807699999999997</v>
      </c>
      <c r="L85">
        <v>-1.1922999999999999</v>
      </c>
      <c r="M85">
        <v>-1.884600000000006</v>
      </c>
      <c r="N85">
        <v>-7.6900000000000079E-2</v>
      </c>
    </row>
    <row r="86" spans="1:14" x14ac:dyDescent="0.3">
      <c r="A86">
        <v>400021491</v>
      </c>
      <c r="B86" t="s">
        <v>76</v>
      </c>
      <c r="C86" t="s">
        <v>57</v>
      </c>
      <c r="D86" t="s">
        <v>55</v>
      </c>
      <c r="E86" t="s">
        <v>17</v>
      </c>
      <c r="F86">
        <v>3</v>
      </c>
      <c r="G86">
        <v>-126.63</v>
      </c>
      <c r="H86">
        <v>0</v>
      </c>
      <c r="I86">
        <v>1.5</v>
      </c>
      <c r="J86">
        <v>-1</v>
      </c>
      <c r="K86">
        <v>-7.1538000000000039</v>
      </c>
      <c r="L86">
        <v>-0.30769999999999958</v>
      </c>
      <c r="M86">
        <v>3.1922999999999888</v>
      </c>
      <c r="N86">
        <v>-0.15379999999999999</v>
      </c>
    </row>
    <row r="87" spans="1:14" x14ac:dyDescent="0.3">
      <c r="A87">
        <v>400021491</v>
      </c>
      <c r="B87" t="s">
        <v>76</v>
      </c>
      <c r="C87" t="s">
        <v>55</v>
      </c>
      <c r="D87" t="s">
        <v>57</v>
      </c>
      <c r="E87" t="s">
        <v>18</v>
      </c>
      <c r="F87">
        <v>2</v>
      </c>
      <c r="G87">
        <v>126.63</v>
      </c>
      <c r="H87">
        <v>0</v>
      </c>
      <c r="I87">
        <v>-1.5</v>
      </c>
      <c r="J87">
        <v>1</v>
      </c>
      <c r="K87">
        <v>7.1538000000000039</v>
      </c>
      <c r="L87">
        <v>0.30769999999999958</v>
      </c>
      <c r="M87">
        <v>-3.1922999999999888</v>
      </c>
      <c r="N87">
        <v>0.15379999999999999</v>
      </c>
    </row>
    <row r="88" spans="1:14" x14ac:dyDescent="0.3">
      <c r="A88">
        <v>400021499</v>
      </c>
      <c r="B88" t="s">
        <v>76</v>
      </c>
      <c r="C88" t="s">
        <v>62</v>
      </c>
      <c r="D88" t="s">
        <v>60</v>
      </c>
      <c r="E88" t="s">
        <v>17</v>
      </c>
      <c r="F88">
        <v>1</v>
      </c>
      <c r="G88">
        <v>-183.29</v>
      </c>
      <c r="H88">
        <v>0</v>
      </c>
      <c r="I88">
        <v>0.5</v>
      </c>
      <c r="J88">
        <v>0</v>
      </c>
      <c r="K88">
        <v>10.42310000000001</v>
      </c>
      <c r="L88">
        <v>-1.269299999999999</v>
      </c>
      <c r="M88">
        <v>-2.346099999999979</v>
      </c>
      <c r="N88">
        <v>-0.34610000000000007</v>
      </c>
    </row>
    <row r="89" spans="1:14" x14ac:dyDescent="0.3">
      <c r="A89">
        <v>400021499</v>
      </c>
      <c r="B89" t="s">
        <v>76</v>
      </c>
      <c r="C89" t="s">
        <v>60</v>
      </c>
      <c r="D89" t="s">
        <v>62</v>
      </c>
      <c r="E89" t="s">
        <v>18</v>
      </c>
      <c r="F89">
        <v>2</v>
      </c>
      <c r="G89">
        <v>183.29</v>
      </c>
      <c r="H89">
        <v>0</v>
      </c>
      <c r="I89">
        <v>-0.5</v>
      </c>
      <c r="J89">
        <v>0</v>
      </c>
      <c r="K89">
        <v>-10.42310000000001</v>
      </c>
      <c r="L89">
        <v>1.269299999999999</v>
      </c>
      <c r="M89">
        <v>2.346099999999979</v>
      </c>
      <c r="N89">
        <v>0.34610000000000007</v>
      </c>
    </row>
    <row r="90" spans="1:14" x14ac:dyDescent="0.3">
      <c r="A90">
        <v>400021503</v>
      </c>
      <c r="B90" t="s">
        <v>76</v>
      </c>
      <c r="C90" t="s">
        <v>63</v>
      </c>
      <c r="D90" t="s">
        <v>70</v>
      </c>
      <c r="E90" t="s">
        <v>17</v>
      </c>
      <c r="F90">
        <v>5</v>
      </c>
      <c r="G90">
        <v>309.12</v>
      </c>
      <c r="H90">
        <v>0</v>
      </c>
      <c r="I90">
        <v>0</v>
      </c>
      <c r="J90">
        <v>-1</v>
      </c>
      <c r="K90">
        <v>9.076900000000002</v>
      </c>
      <c r="L90">
        <v>5.577</v>
      </c>
      <c r="M90">
        <v>-0.38460000000000599</v>
      </c>
      <c r="N90">
        <v>0.42309999999999998</v>
      </c>
    </row>
    <row r="91" spans="1:14" x14ac:dyDescent="0.3">
      <c r="A91">
        <v>400021503</v>
      </c>
      <c r="B91" t="s">
        <v>76</v>
      </c>
      <c r="C91" t="s">
        <v>70</v>
      </c>
      <c r="D91" t="s">
        <v>63</v>
      </c>
      <c r="E91" t="s">
        <v>18</v>
      </c>
      <c r="F91">
        <v>0</v>
      </c>
      <c r="G91">
        <v>-309.12</v>
      </c>
      <c r="H91">
        <v>0</v>
      </c>
      <c r="I91">
        <v>0</v>
      </c>
      <c r="J91">
        <v>1</v>
      </c>
      <c r="K91">
        <v>-9.076900000000002</v>
      </c>
      <c r="L91">
        <v>-5.577</v>
      </c>
      <c r="M91">
        <v>0.38460000000000599</v>
      </c>
      <c r="N91">
        <v>-0.42309999999999998</v>
      </c>
    </row>
    <row r="92" spans="1:14" x14ac:dyDescent="0.3">
      <c r="A92">
        <v>400021506</v>
      </c>
      <c r="B92" t="s">
        <v>76</v>
      </c>
      <c r="C92" t="s">
        <v>65</v>
      </c>
      <c r="D92" t="s">
        <v>67</v>
      </c>
      <c r="E92" t="s">
        <v>17</v>
      </c>
      <c r="F92">
        <v>0</v>
      </c>
      <c r="G92">
        <v>481.14</v>
      </c>
      <c r="H92">
        <v>0</v>
      </c>
      <c r="I92">
        <v>1.5</v>
      </c>
      <c r="J92">
        <v>1</v>
      </c>
      <c r="K92">
        <v>12.7692</v>
      </c>
      <c r="L92">
        <v>3.8077000000000001</v>
      </c>
      <c r="M92">
        <v>2</v>
      </c>
      <c r="N92">
        <v>-0.76919999999999999</v>
      </c>
    </row>
    <row r="93" spans="1:14" x14ac:dyDescent="0.3">
      <c r="A93">
        <v>400021506</v>
      </c>
      <c r="B93" t="s">
        <v>76</v>
      </c>
      <c r="C93" t="s">
        <v>67</v>
      </c>
      <c r="D93" t="s">
        <v>65</v>
      </c>
      <c r="E93" t="s">
        <v>18</v>
      </c>
      <c r="F93">
        <v>0</v>
      </c>
      <c r="G93">
        <v>-481.14</v>
      </c>
      <c r="H93">
        <v>0</v>
      </c>
      <c r="I93">
        <v>-1.5</v>
      </c>
      <c r="J93">
        <v>-1</v>
      </c>
      <c r="K93">
        <v>-12.7692</v>
      </c>
      <c r="L93">
        <v>-3.8077000000000001</v>
      </c>
      <c r="M93">
        <v>-2</v>
      </c>
      <c r="N93">
        <v>0.76919999999999999</v>
      </c>
    </row>
    <row r="94" spans="1:14" x14ac:dyDescent="0.3">
      <c r="A94">
        <v>400021511</v>
      </c>
      <c r="B94" t="s">
        <v>76</v>
      </c>
      <c r="C94" t="s">
        <v>68</v>
      </c>
      <c r="D94" t="s">
        <v>66</v>
      </c>
      <c r="E94" t="s">
        <v>17</v>
      </c>
      <c r="F94">
        <v>0</v>
      </c>
      <c r="G94">
        <v>-175.71</v>
      </c>
      <c r="H94">
        <v>0</v>
      </c>
      <c r="I94">
        <v>-1</v>
      </c>
      <c r="J94">
        <v>-1.5</v>
      </c>
      <c r="K94">
        <v>14.038500000000001</v>
      </c>
      <c r="L94">
        <v>-1.2307999999999999</v>
      </c>
      <c r="M94">
        <v>-3.1923000000000168</v>
      </c>
      <c r="N94">
        <v>0</v>
      </c>
    </row>
    <row r="95" spans="1:14" x14ac:dyDescent="0.3">
      <c r="A95">
        <v>400021511</v>
      </c>
      <c r="B95" t="s">
        <v>76</v>
      </c>
      <c r="C95" t="s">
        <v>66</v>
      </c>
      <c r="D95" t="s">
        <v>68</v>
      </c>
      <c r="E95" t="s">
        <v>18</v>
      </c>
      <c r="F95">
        <v>1</v>
      </c>
      <c r="G95">
        <v>175.71</v>
      </c>
      <c r="H95">
        <v>0</v>
      </c>
      <c r="I95">
        <v>1</v>
      </c>
      <c r="J95">
        <v>1.5</v>
      </c>
      <c r="K95">
        <v>-14.038500000000001</v>
      </c>
      <c r="L95">
        <v>1.2307999999999999</v>
      </c>
      <c r="M95">
        <v>3.1923000000000168</v>
      </c>
      <c r="N95">
        <v>0</v>
      </c>
    </row>
    <row r="96" spans="1:14" x14ac:dyDescent="0.3">
      <c r="A96">
        <v>400021501</v>
      </c>
      <c r="B96" t="s">
        <v>77</v>
      </c>
      <c r="C96" t="s">
        <v>71</v>
      </c>
      <c r="D96" t="s">
        <v>64</v>
      </c>
      <c r="E96" t="s">
        <v>17</v>
      </c>
      <c r="F96">
        <v>1</v>
      </c>
      <c r="G96">
        <v>223.92</v>
      </c>
      <c r="H96">
        <v>0</v>
      </c>
      <c r="I96">
        <v>1</v>
      </c>
      <c r="J96">
        <v>0</v>
      </c>
      <c r="K96">
        <v>10.230700000000001</v>
      </c>
      <c r="L96">
        <v>1.077</v>
      </c>
      <c r="M96">
        <v>-1</v>
      </c>
      <c r="N96">
        <v>-3.8499999999999979E-2</v>
      </c>
    </row>
    <row r="97" spans="1:14" x14ac:dyDescent="0.3">
      <c r="A97">
        <v>400021501</v>
      </c>
      <c r="B97" t="s">
        <v>77</v>
      </c>
      <c r="C97" t="s">
        <v>64</v>
      </c>
      <c r="D97" t="s">
        <v>71</v>
      </c>
      <c r="E97" t="s">
        <v>18</v>
      </c>
      <c r="F97">
        <v>0</v>
      </c>
      <c r="G97">
        <v>-223.92</v>
      </c>
      <c r="H97">
        <v>0</v>
      </c>
      <c r="I97">
        <v>-1</v>
      </c>
      <c r="J97">
        <v>0</v>
      </c>
      <c r="K97">
        <v>-10.230700000000001</v>
      </c>
      <c r="L97">
        <v>-1.077</v>
      </c>
      <c r="M97">
        <v>1</v>
      </c>
      <c r="N97">
        <v>3.8499999999999979E-2</v>
      </c>
    </row>
    <row r="98" spans="1:14" x14ac:dyDescent="0.3">
      <c r="A98">
        <v>400021448</v>
      </c>
      <c r="B98" t="s">
        <v>77</v>
      </c>
      <c r="C98" t="s">
        <v>23</v>
      </c>
      <c r="D98" t="s">
        <v>27</v>
      </c>
      <c r="E98" t="s">
        <v>17</v>
      </c>
      <c r="F98">
        <v>3</v>
      </c>
      <c r="G98">
        <v>-63.09</v>
      </c>
      <c r="H98">
        <v>0</v>
      </c>
      <c r="I98">
        <v>0.33329999999999999</v>
      </c>
      <c r="J98">
        <v>-0.66669999999999996</v>
      </c>
      <c r="K98">
        <v>-36.807699999999997</v>
      </c>
      <c r="L98">
        <v>-4.6153999999999993</v>
      </c>
      <c r="M98">
        <v>7.6922999999999888</v>
      </c>
      <c r="N98">
        <v>0.92300000000000004</v>
      </c>
    </row>
    <row r="99" spans="1:14" x14ac:dyDescent="0.3">
      <c r="A99">
        <v>400021448</v>
      </c>
      <c r="B99" t="s">
        <v>77</v>
      </c>
      <c r="C99" t="s">
        <v>27</v>
      </c>
      <c r="D99" t="s">
        <v>23</v>
      </c>
      <c r="E99" t="s">
        <v>18</v>
      </c>
      <c r="F99">
        <v>1</v>
      </c>
      <c r="G99">
        <v>63.09</v>
      </c>
      <c r="H99">
        <v>0</v>
      </c>
      <c r="I99">
        <v>-0.33329999999999999</v>
      </c>
      <c r="J99">
        <v>0.66669999999999996</v>
      </c>
      <c r="K99">
        <v>36.807699999999997</v>
      </c>
      <c r="L99">
        <v>4.6153999999999993</v>
      </c>
      <c r="M99">
        <v>-7.6922999999999888</v>
      </c>
      <c r="N99">
        <v>-0.92300000000000004</v>
      </c>
    </row>
    <row r="100" spans="1:14" x14ac:dyDescent="0.3">
      <c r="A100">
        <v>400021451</v>
      </c>
      <c r="B100" t="s">
        <v>77</v>
      </c>
      <c r="C100" t="s">
        <v>28</v>
      </c>
      <c r="D100" t="s">
        <v>22</v>
      </c>
      <c r="E100" t="s">
        <v>17</v>
      </c>
      <c r="F100">
        <v>2</v>
      </c>
      <c r="G100">
        <v>90.58</v>
      </c>
      <c r="H100">
        <v>-1</v>
      </c>
      <c r="I100">
        <v>-0.66669999999999996</v>
      </c>
      <c r="J100">
        <v>0.33329999999999999</v>
      </c>
      <c r="K100">
        <v>7.423099999999998</v>
      </c>
      <c r="L100">
        <v>-0.26929999999999937</v>
      </c>
      <c r="M100">
        <v>2.9230999999999772</v>
      </c>
      <c r="N100">
        <v>0</v>
      </c>
    </row>
    <row r="101" spans="1:14" x14ac:dyDescent="0.3">
      <c r="A101">
        <v>400021451</v>
      </c>
      <c r="B101" t="s">
        <v>77</v>
      </c>
      <c r="C101" t="s">
        <v>22</v>
      </c>
      <c r="D101" t="s">
        <v>28</v>
      </c>
      <c r="E101" t="s">
        <v>18</v>
      </c>
      <c r="F101">
        <v>1</v>
      </c>
      <c r="G101">
        <v>-90.58</v>
      </c>
      <c r="H101">
        <v>1</v>
      </c>
      <c r="I101">
        <v>0.66669999999999996</v>
      </c>
      <c r="J101">
        <v>-0.33329999999999999</v>
      </c>
      <c r="K101">
        <v>-7.423099999999998</v>
      </c>
      <c r="L101">
        <v>0.26929999999999937</v>
      </c>
      <c r="M101">
        <v>-2.9230999999999772</v>
      </c>
      <c r="N101">
        <v>0</v>
      </c>
    </row>
    <row r="102" spans="1:14" x14ac:dyDescent="0.3">
      <c r="A102">
        <v>400021452</v>
      </c>
      <c r="B102" t="s">
        <v>77</v>
      </c>
      <c r="C102" t="s">
        <v>30</v>
      </c>
      <c r="D102" t="s">
        <v>32</v>
      </c>
      <c r="E102" t="s">
        <v>17</v>
      </c>
      <c r="F102">
        <v>4</v>
      </c>
      <c r="G102">
        <v>462</v>
      </c>
      <c r="H102">
        <v>0</v>
      </c>
      <c r="I102">
        <v>0.66669999999999996</v>
      </c>
      <c r="J102">
        <v>-1</v>
      </c>
      <c r="K102">
        <v>4.8846999999999987</v>
      </c>
      <c r="L102">
        <v>-0.26919999999999972</v>
      </c>
      <c r="M102">
        <v>0.80770000000001119</v>
      </c>
      <c r="N102">
        <v>-3.839999999999999E-2</v>
      </c>
    </row>
    <row r="103" spans="1:14" x14ac:dyDescent="0.3">
      <c r="A103">
        <v>400021452</v>
      </c>
      <c r="B103" t="s">
        <v>77</v>
      </c>
      <c r="C103" t="s">
        <v>32</v>
      </c>
      <c r="D103" t="s">
        <v>30</v>
      </c>
      <c r="E103" t="s">
        <v>18</v>
      </c>
      <c r="F103">
        <v>2</v>
      </c>
      <c r="G103">
        <v>-462</v>
      </c>
      <c r="H103">
        <v>0</v>
      </c>
      <c r="I103">
        <v>-0.66669999999999996</v>
      </c>
      <c r="J103">
        <v>1</v>
      </c>
      <c r="K103">
        <v>-4.8846999999999987</v>
      </c>
      <c r="L103">
        <v>0.26919999999999972</v>
      </c>
      <c r="M103">
        <v>-0.80770000000001119</v>
      </c>
      <c r="N103">
        <v>3.839999999999999E-2</v>
      </c>
    </row>
    <row r="104" spans="1:14" x14ac:dyDescent="0.3">
      <c r="A104">
        <v>400021455</v>
      </c>
      <c r="B104" t="s">
        <v>77</v>
      </c>
      <c r="C104" t="s">
        <v>33</v>
      </c>
      <c r="D104" t="s">
        <v>29</v>
      </c>
      <c r="E104" t="s">
        <v>17</v>
      </c>
      <c r="F104">
        <v>0</v>
      </c>
      <c r="G104">
        <v>-262.52</v>
      </c>
      <c r="H104">
        <v>0</v>
      </c>
      <c r="I104">
        <v>-1</v>
      </c>
      <c r="J104">
        <v>0</v>
      </c>
      <c r="K104">
        <v>1.038399999999996</v>
      </c>
      <c r="L104">
        <v>-2.4230999999999998</v>
      </c>
      <c r="M104">
        <v>1.346100000000007</v>
      </c>
      <c r="N104">
        <v>-3.8499999999999979E-2</v>
      </c>
    </row>
    <row r="105" spans="1:14" x14ac:dyDescent="0.3">
      <c r="A105">
        <v>400021455</v>
      </c>
      <c r="B105" t="s">
        <v>77</v>
      </c>
      <c r="C105" t="s">
        <v>29</v>
      </c>
      <c r="D105" t="s">
        <v>33</v>
      </c>
      <c r="E105" t="s">
        <v>18</v>
      </c>
      <c r="F105">
        <v>3</v>
      </c>
      <c r="G105">
        <v>262.52</v>
      </c>
      <c r="H105">
        <v>0</v>
      </c>
      <c r="I105">
        <v>1</v>
      </c>
      <c r="J105">
        <v>0</v>
      </c>
      <c r="K105">
        <v>-1.038399999999996</v>
      </c>
      <c r="L105">
        <v>2.4230999999999998</v>
      </c>
      <c r="M105">
        <v>-1.346100000000007</v>
      </c>
      <c r="N105">
        <v>3.8499999999999979E-2</v>
      </c>
    </row>
    <row r="106" spans="1:14" x14ac:dyDescent="0.3">
      <c r="A106">
        <v>400021445</v>
      </c>
      <c r="B106" t="s">
        <v>78</v>
      </c>
      <c r="C106" t="s">
        <v>16</v>
      </c>
      <c r="D106" t="s">
        <v>20</v>
      </c>
      <c r="E106" t="s">
        <v>17</v>
      </c>
      <c r="F106">
        <v>1</v>
      </c>
      <c r="G106">
        <v>-163.25</v>
      </c>
      <c r="H106">
        <v>0</v>
      </c>
      <c r="I106">
        <v>-0.33329999999999999</v>
      </c>
      <c r="J106">
        <v>0.33329999999999999</v>
      </c>
      <c r="K106">
        <v>-15.9323</v>
      </c>
      <c r="L106">
        <v>-2.8984999999999999</v>
      </c>
      <c r="M106">
        <v>-3.0031000000000181</v>
      </c>
      <c r="N106">
        <v>-0.45079999999999998</v>
      </c>
    </row>
    <row r="107" spans="1:14" x14ac:dyDescent="0.3">
      <c r="A107">
        <v>400021445</v>
      </c>
      <c r="B107" t="s">
        <v>78</v>
      </c>
      <c r="C107" t="s">
        <v>20</v>
      </c>
      <c r="D107" t="s">
        <v>16</v>
      </c>
      <c r="E107" t="s">
        <v>18</v>
      </c>
      <c r="F107">
        <v>0</v>
      </c>
      <c r="G107">
        <v>163.25</v>
      </c>
      <c r="H107">
        <v>0</v>
      </c>
      <c r="I107">
        <v>0.33329999999999999</v>
      </c>
      <c r="J107">
        <v>-0.33329999999999999</v>
      </c>
      <c r="K107">
        <v>15.9323</v>
      </c>
      <c r="L107">
        <v>2.8984999999999999</v>
      </c>
      <c r="M107">
        <v>3.0031000000000181</v>
      </c>
      <c r="N107">
        <v>0.45079999999999998</v>
      </c>
    </row>
    <row r="108" spans="1:14" x14ac:dyDescent="0.3">
      <c r="A108">
        <v>400021444</v>
      </c>
      <c r="B108" t="s">
        <v>78</v>
      </c>
      <c r="C108" t="s">
        <v>21</v>
      </c>
      <c r="D108" t="s">
        <v>15</v>
      </c>
      <c r="E108" t="s">
        <v>17</v>
      </c>
      <c r="F108">
        <v>0</v>
      </c>
      <c r="G108">
        <v>-181.74</v>
      </c>
      <c r="H108">
        <v>-1</v>
      </c>
      <c r="I108">
        <v>-0.33329999999999999</v>
      </c>
      <c r="J108">
        <v>1</v>
      </c>
      <c r="K108">
        <v>-20.423100000000002</v>
      </c>
      <c r="L108">
        <v>-1.0384</v>
      </c>
      <c r="M108">
        <v>6.2307999999999879</v>
      </c>
      <c r="N108">
        <v>-0.1923</v>
      </c>
    </row>
    <row r="109" spans="1:14" x14ac:dyDescent="0.3">
      <c r="A109">
        <v>400021444</v>
      </c>
      <c r="B109" t="s">
        <v>78</v>
      </c>
      <c r="C109" t="s">
        <v>15</v>
      </c>
      <c r="D109" t="s">
        <v>21</v>
      </c>
      <c r="E109" t="s">
        <v>18</v>
      </c>
      <c r="F109">
        <v>3</v>
      </c>
      <c r="G109">
        <v>181.74</v>
      </c>
      <c r="H109">
        <v>1</v>
      </c>
      <c r="I109">
        <v>0.33329999999999999</v>
      </c>
      <c r="J109">
        <v>-1</v>
      </c>
      <c r="K109">
        <v>20.423100000000002</v>
      </c>
      <c r="L109">
        <v>1.0384</v>
      </c>
      <c r="M109">
        <v>-6.2307999999999879</v>
      </c>
      <c r="N109">
        <v>0.1923</v>
      </c>
    </row>
    <row r="110" spans="1:14" x14ac:dyDescent="0.3">
      <c r="A110">
        <v>400021468</v>
      </c>
      <c r="B110" t="s">
        <v>78</v>
      </c>
      <c r="C110" t="s">
        <v>37</v>
      </c>
      <c r="D110" t="s">
        <v>40</v>
      </c>
      <c r="E110" t="s">
        <v>17</v>
      </c>
      <c r="F110">
        <v>0</v>
      </c>
      <c r="G110">
        <v>-246.1</v>
      </c>
      <c r="H110">
        <v>0</v>
      </c>
      <c r="I110">
        <v>-0.33329999999999999</v>
      </c>
      <c r="J110">
        <v>1.6667000000000001</v>
      </c>
      <c r="K110">
        <v>-3.9616000000000011</v>
      </c>
      <c r="L110">
        <v>-0.53849999999999998</v>
      </c>
      <c r="M110">
        <v>-1</v>
      </c>
      <c r="N110">
        <v>0</v>
      </c>
    </row>
    <row r="111" spans="1:14" x14ac:dyDescent="0.3">
      <c r="A111">
        <v>400021468</v>
      </c>
      <c r="B111" t="s">
        <v>78</v>
      </c>
      <c r="C111" t="s">
        <v>40</v>
      </c>
      <c r="D111" t="s">
        <v>37</v>
      </c>
      <c r="E111" t="s">
        <v>18</v>
      </c>
      <c r="F111">
        <v>2</v>
      </c>
      <c r="G111">
        <v>246.1</v>
      </c>
      <c r="H111">
        <v>0</v>
      </c>
      <c r="I111">
        <v>0.33329999999999999</v>
      </c>
      <c r="J111">
        <v>-1.6667000000000001</v>
      </c>
      <c r="K111">
        <v>3.9616000000000011</v>
      </c>
      <c r="L111">
        <v>0.53849999999999998</v>
      </c>
      <c r="M111">
        <v>1</v>
      </c>
      <c r="N111">
        <v>0</v>
      </c>
    </row>
    <row r="112" spans="1:14" x14ac:dyDescent="0.3">
      <c r="A112">
        <v>400021466</v>
      </c>
      <c r="B112" t="s">
        <v>78</v>
      </c>
      <c r="C112" t="s">
        <v>41</v>
      </c>
      <c r="D112" t="s">
        <v>36</v>
      </c>
      <c r="E112" t="s">
        <v>17</v>
      </c>
      <c r="F112">
        <v>2</v>
      </c>
      <c r="G112">
        <v>-137.25</v>
      </c>
      <c r="H112">
        <v>0</v>
      </c>
      <c r="I112">
        <v>-3</v>
      </c>
      <c r="J112">
        <v>-0.33329999999999999</v>
      </c>
      <c r="K112">
        <v>-2.9615000000000009</v>
      </c>
      <c r="L112">
        <v>-0.76920000000000011</v>
      </c>
      <c r="M112">
        <v>-5.6537999999999897</v>
      </c>
      <c r="N112">
        <v>0.65390000000000004</v>
      </c>
    </row>
    <row r="113" spans="1:14" x14ac:dyDescent="0.3">
      <c r="A113">
        <v>400021466</v>
      </c>
      <c r="B113" t="s">
        <v>78</v>
      </c>
      <c r="C113" t="s">
        <v>36</v>
      </c>
      <c r="D113" t="s">
        <v>41</v>
      </c>
      <c r="E113" t="s">
        <v>18</v>
      </c>
      <c r="F113">
        <v>1</v>
      </c>
      <c r="G113">
        <v>137.25</v>
      </c>
      <c r="H113">
        <v>0</v>
      </c>
      <c r="I113">
        <v>3</v>
      </c>
      <c r="J113">
        <v>0.33329999999999999</v>
      </c>
      <c r="K113">
        <v>2.9615000000000009</v>
      </c>
      <c r="L113">
        <v>0.76920000000000011</v>
      </c>
      <c r="M113">
        <v>5.6537999999999897</v>
      </c>
      <c r="N113">
        <v>-0.65390000000000004</v>
      </c>
    </row>
    <row r="114" spans="1:14" x14ac:dyDescent="0.3">
      <c r="A114">
        <v>400021473</v>
      </c>
      <c r="B114" t="s">
        <v>78</v>
      </c>
      <c r="C114" t="s">
        <v>44</v>
      </c>
      <c r="D114" t="s">
        <v>38</v>
      </c>
      <c r="E114" t="s">
        <v>17</v>
      </c>
      <c r="F114">
        <v>1</v>
      </c>
      <c r="G114">
        <v>-277.16000000000003</v>
      </c>
      <c r="H114">
        <v>0</v>
      </c>
      <c r="I114">
        <v>-2</v>
      </c>
      <c r="J114">
        <v>2</v>
      </c>
      <c r="K114">
        <v>-11.461600000000001</v>
      </c>
      <c r="L114">
        <v>-4.5383999999999993</v>
      </c>
      <c r="M114">
        <v>-0.57689999999999486</v>
      </c>
      <c r="N114">
        <v>-0.15390000000000001</v>
      </c>
    </row>
    <row r="115" spans="1:14" x14ac:dyDescent="0.3">
      <c r="A115">
        <v>400021473</v>
      </c>
      <c r="B115" t="s">
        <v>78</v>
      </c>
      <c r="C115" t="s">
        <v>38</v>
      </c>
      <c r="D115" t="s">
        <v>44</v>
      </c>
      <c r="E115" t="s">
        <v>18</v>
      </c>
      <c r="F115">
        <v>3</v>
      </c>
      <c r="G115">
        <v>277.16000000000003</v>
      </c>
      <c r="H115">
        <v>0</v>
      </c>
      <c r="I115">
        <v>2</v>
      </c>
      <c r="J115">
        <v>-2</v>
      </c>
      <c r="K115">
        <v>11.461600000000001</v>
      </c>
      <c r="L115">
        <v>4.5383999999999993</v>
      </c>
      <c r="M115">
        <v>0.57689999999999486</v>
      </c>
      <c r="N115">
        <v>0.15390000000000001</v>
      </c>
    </row>
    <row r="116" spans="1:14" x14ac:dyDescent="0.3">
      <c r="A116">
        <v>400021471</v>
      </c>
      <c r="B116" t="s">
        <v>78</v>
      </c>
      <c r="C116" t="s">
        <v>39</v>
      </c>
      <c r="D116" t="s">
        <v>43</v>
      </c>
      <c r="E116" t="s">
        <v>17</v>
      </c>
      <c r="F116">
        <v>1</v>
      </c>
      <c r="G116">
        <v>151.79</v>
      </c>
      <c r="H116">
        <v>0</v>
      </c>
      <c r="I116">
        <v>0</v>
      </c>
      <c r="J116">
        <v>-1.3332999999999999</v>
      </c>
      <c r="K116">
        <v>11.2308</v>
      </c>
      <c r="L116">
        <v>1.8846000000000001</v>
      </c>
      <c r="M116">
        <v>-4.5768999999999949</v>
      </c>
      <c r="N116">
        <v>0</v>
      </c>
    </row>
    <row r="117" spans="1:14" x14ac:dyDescent="0.3">
      <c r="A117">
        <v>400021471</v>
      </c>
      <c r="B117" t="s">
        <v>78</v>
      </c>
      <c r="C117" t="s">
        <v>43</v>
      </c>
      <c r="D117" t="s">
        <v>39</v>
      </c>
      <c r="E117" t="s">
        <v>18</v>
      </c>
      <c r="F117">
        <v>1</v>
      </c>
      <c r="G117">
        <v>-151.79</v>
      </c>
      <c r="H117">
        <v>0</v>
      </c>
      <c r="I117">
        <v>0</v>
      </c>
      <c r="J117">
        <v>1.3332999999999999</v>
      </c>
      <c r="K117">
        <v>-11.2308</v>
      </c>
      <c r="L117">
        <v>-1.8846000000000001</v>
      </c>
      <c r="M117">
        <v>4.5768999999999949</v>
      </c>
      <c r="N117">
        <v>0</v>
      </c>
    </row>
    <row r="118" spans="1:14" x14ac:dyDescent="0.3">
      <c r="A118">
        <v>400021461</v>
      </c>
      <c r="B118" t="s">
        <v>79</v>
      </c>
      <c r="C118" t="s">
        <v>26</v>
      </c>
      <c r="D118" t="s">
        <v>34</v>
      </c>
      <c r="E118" t="s">
        <v>17</v>
      </c>
      <c r="F118">
        <v>0</v>
      </c>
      <c r="G118">
        <v>-73.989999999999995</v>
      </c>
      <c r="H118">
        <v>0</v>
      </c>
      <c r="I118">
        <v>0</v>
      </c>
      <c r="J118">
        <v>0.66669999999999996</v>
      </c>
      <c r="K118">
        <v>-1.1154000000000011</v>
      </c>
      <c r="L118">
        <v>-0.73079999999999989</v>
      </c>
      <c r="M118">
        <v>-1.9615000000000009</v>
      </c>
      <c r="N118">
        <v>7.6900000000000079E-2</v>
      </c>
    </row>
    <row r="119" spans="1:14" x14ac:dyDescent="0.3">
      <c r="A119">
        <v>400021461</v>
      </c>
      <c r="B119" t="s">
        <v>79</v>
      </c>
      <c r="C119" t="s">
        <v>34</v>
      </c>
      <c r="D119" t="s">
        <v>26</v>
      </c>
      <c r="E119" t="s">
        <v>18</v>
      </c>
      <c r="F119">
        <v>0</v>
      </c>
      <c r="G119">
        <v>73.989999999999995</v>
      </c>
      <c r="H119">
        <v>0</v>
      </c>
      <c r="I119">
        <v>0</v>
      </c>
      <c r="J119">
        <v>-0.66669999999999996</v>
      </c>
      <c r="K119">
        <v>1.1154000000000011</v>
      </c>
      <c r="L119">
        <v>0.73079999999999989</v>
      </c>
      <c r="M119">
        <v>1.9615000000000009</v>
      </c>
      <c r="N119">
        <v>-7.6900000000000079E-2</v>
      </c>
    </row>
    <row r="120" spans="1:14" x14ac:dyDescent="0.3">
      <c r="A120">
        <v>400021459</v>
      </c>
      <c r="B120" t="s">
        <v>79</v>
      </c>
      <c r="C120" t="s">
        <v>35</v>
      </c>
      <c r="D120" t="s">
        <v>25</v>
      </c>
      <c r="E120" t="s">
        <v>17</v>
      </c>
      <c r="F120">
        <v>3</v>
      </c>
      <c r="G120">
        <v>-65.5</v>
      </c>
      <c r="H120">
        <v>-1</v>
      </c>
      <c r="I120">
        <v>-2</v>
      </c>
      <c r="J120">
        <v>0.66669999999999996</v>
      </c>
      <c r="K120">
        <v>-0.69230000000000302</v>
      </c>
      <c r="L120">
        <v>-1.3076000000000001</v>
      </c>
      <c r="M120">
        <v>0.38460000000000599</v>
      </c>
      <c r="N120">
        <v>-0.30769999999999997</v>
      </c>
    </row>
    <row r="121" spans="1:14" x14ac:dyDescent="0.3">
      <c r="A121">
        <v>400021459</v>
      </c>
      <c r="B121" t="s">
        <v>79</v>
      </c>
      <c r="C121" t="s">
        <v>25</v>
      </c>
      <c r="D121" t="s">
        <v>35</v>
      </c>
      <c r="E121" t="s">
        <v>18</v>
      </c>
      <c r="F121">
        <v>2</v>
      </c>
      <c r="G121">
        <v>65.5</v>
      </c>
      <c r="H121">
        <v>1</v>
      </c>
      <c r="I121">
        <v>2</v>
      </c>
      <c r="J121">
        <v>-0.66669999999999996</v>
      </c>
      <c r="K121">
        <v>0.69230000000000302</v>
      </c>
      <c r="L121">
        <v>1.3076000000000001</v>
      </c>
      <c r="M121">
        <v>-0.38460000000000599</v>
      </c>
      <c r="N121">
        <v>0.30769999999999997</v>
      </c>
    </row>
    <row r="122" spans="1:14" x14ac:dyDescent="0.3">
      <c r="A122">
        <v>400021493</v>
      </c>
      <c r="B122" t="s">
        <v>79</v>
      </c>
      <c r="C122" t="s">
        <v>55</v>
      </c>
      <c r="D122" t="s">
        <v>56</v>
      </c>
      <c r="E122" t="s">
        <v>17</v>
      </c>
      <c r="F122">
        <v>5</v>
      </c>
      <c r="G122">
        <v>237.79</v>
      </c>
      <c r="H122">
        <v>0</v>
      </c>
      <c r="I122">
        <v>0.66669999999999996</v>
      </c>
      <c r="J122">
        <v>-0.33329999999999999</v>
      </c>
      <c r="K122">
        <v>7.8460999999999999</v>
      </c>
      <c r="L122">
        <v>2</v>
      </c>
      <c r="M122">
        <v>0.92300000000000182</v>
      </c>
      <c r="N122">
        <v>0.38460000000000011</v>
      </c>
    </row>
    <row r="123" spans="1:14" x14ac:dyDescent="0.3">
      <c r="A123">
        <v>400021493</v>
      </c>
      <c r="B123" t="s">
        <v>79</v>
      </c>
      <c r="C123" t="s">
        <v>56</v>
      </c>
      <c r="D123" t="s">
        <v>55</v>
      </c>
      <c r="E123" t="s">
        <v>18</v>
      </c>
      <c r="F123">
        <v>0</v>
      </c>
      <c r="G123">
        <v>-237.79</v>
      </c>
      <c r="H123">
        <v>0</v>
      </c>
      <c r="I123">
        <v>-0.66669999999999996</v>
      </c>
      <c r="J123">
        <v>0.33329999999999999</v>
      </c>
      <c r="K123">
        <v>-7.8460999999999999</v>
      </c>
      <c r="L123">
        <v>-2</v>
      </c>
      <c r="M123">
        <v>-0.92300000000000182</v>
      </c>
      <c r="N123">
        <v>-0.38460000000000011</v>
      </c>
    </row>
    <row r="124" spans="1:14" x14ac:dyDescent="0.3">
      <c r="A124">
        <v>400021489</v>
      </c>
      <c r="B124" t="s">
        <v>79</v>
      </c>
      <c r="C124" t="s">
        <v>57</v>
      </c>
      <c r="D124" t="s">
        <v>54</v>
      </c>
      <c r="E124" t="s">
        <v>17</v>
      </c>
      <c r="F124">
        <v>1</v>
      </c>
      <c r="G124">
        <v>-313.26</v>
      </c>
      <c r="H124">
        <v>0</v>
      </c>
      <c r="I124">
        <v>0.33329999999999999</v>
      </c>
      <c r="J124">
        <v>0.66669999999999996</v>
      </c>
      <c r="K124">
        <v>-1.1154000000000011</v>
      </c>
      <c r="L124">
        <v>0.5</v>
      </c>
      <c r="M124">
        <v>2.230699999999985</v>
      </c>
      <c r="N124">
        <v>0.1538999999999999</v>
      </c>
    </row>
    <row r="125" spans="1:14" x14ac:dyDescent="0.3">
      <c r="A125">
        <v>400021489</v>
      </c>
      <c r="B125" t="s">
        <v>79</v>
      </c>
      <c r="C125" t="s">
        <v>54</v>
      </c>
      <c r="D125" t="s">
        <v>57</v>
      </c>
      <c r="E125" t="s">
        <v>18</v>
      </c>
      <c r="F125">
        <v>4</v>
      </c>
      <c r="G125">
        <v>313.26</v>
      </c>
      <c r="H125">
        <v>0</v>
      </c>
      <c r="I125">
        <v>-0.33329999999999999</v>
      </c>
      <c r="J125">
        <v>-0.66669999999999996</v>
      </c>
      <c r="K125">
        <v>1.1154000000000011</v>
      </c>
      <c r="L125">
        <v>-0.5</v>
      </c>
      <c r="M125">
        <v>-2.230699999999985</v>
      </c>
      <c r="N125">
        <v>-0.1538999999999999</v>
      </c>
    </row>
    <row r="126" spans="1:14" x14ac:dyDescent="0.3">
      <c r="A126">
        <v>400021484</v>
      </c>
      <c r="B126" t="s">
        <v>80</v>
      </c>
      <c r="C126" t="s">
        <v>50</v>
      </c>
      <c r="D126" t="s">
        <v>45</v>
      </c>
      <c r="E126" t="s">
        <v>17</v>
      </c>
      <c r="F126">
        <v>0</v>
      </c>
      <c r="G126">
        <v>-201.64</v>
      </c>
      <c r="H126">
        <v>0</v>
      </c>
      <c r="I126">
        <v>-0.33329999999999999</v>
      </c>
      <c r="J126">
        <v>1</v>
      </c>
      <c r="K126">
        <v>3.9615000000000009</v>
      </c>
      <c r="L126">
        <v>-2.0385</v>
      </c>
      <c r="M126">
        <v>-1.269299999999987</v>
      </c>
      <c r="N126">
        <v>0.65379999999999994</v>
      </c>
    </row>
    <row r="127" spans="1:14" x14ac:dyDescent="0.3">
      <c r="A127">
        <v>400021484</v>
      </c>
      <c r="B127" t="s">
        <v>80</v>
      </c>
      <c r="C127" t="s">
        <v>45</v>
      </c>
      <c r="D127" t="s">
        <v>50</v>
      </c>
      <c r="E127" t="s">
        <v>18</v>
      </c>
      <c r="F127">
        <v>1</v>
      </c>
      <c r="G127">
        <v>201.64</v>
      </c>
      <c r="H127">
        <v>0</v>
      </c>
      <c r="I127">
        <v>0.33329999999999999</v>
      </c>
      <c r="J127">
        <v>-1</v>
      </c>
      <c r="K127">
        <v>-3.9615000000000009</v>
      </c>
      <c r="L127">
        <v>2.0385</v>
      </c>
      <c r="M127">
        <v>1.269299999999987</v>
      </c>
      <c r="N127">
        <v>-0.65379999999999994</v>
      </c>
    </row>
    <row r="128" spans="1:14" x14ac:dyDescent="0.3">
      <c r="A128">
        <v>400021485</v>
      </c>
      <c r="B128" t="s">
        <v>80</v>
      </c>
      <c r="C128" t="s">
        <v>46</v>
      </c>
      <c r="D128" t="s">
        <v>49</v>
      </c>
      <c r="E128" t="s">
        <v>17</v>
      </c>
      <c r="F128">
        <v>0</v>
      </c>
      <c r="G128">
        <v>-52.77</v>
      </c>
      <c r="H128">
        <v>0</v>
      </c>
      <c r="I128">
        <v>0.33329999999999999</v>
      </c>
      <c r="J128">
        <v>-1</v>
      </c>
      <c r="K128">
        <v>-3.2691999999999979</v>
      </c>
      <c r="L128">
        <v>-0.69229999999999992</v>
      </c>
      <c r="M128">
        <v>2.9231000000000051</v>
      </c>
      <c r="N128">
        <v>0.96150000000000002</v>
      </c>
    </row>
    <row r="129" spans="1:14" x14ac:dyDescent="0.3">
      <c r="A129">
        <v>400021485</v>
      </c>
      <c r="B129" t="s">
        <v>80</v>
      </c>
      <c r="C129" t="s">
        <v>49</v>
      </c>
      <c r="D129" t="s">
        <v>46</v>
      </c>
      <c r="E129" t="s">
        <v>18</v>
      </c>
      <c r="F129">
        <v>0</v>
      </c>
      <c r="G129">
        <v>52.77</v>
      </c>
      <c r="H129">
        <v>0</v>
      </c>
      <c r="I129">
        <v>-0.33329999999999999</v>
      </c>
      <c r="J129">
        <v>1</v>
      </c>
      <c r="K129">
        <v>3.2691999999999979</v>
      </c>
      <c r="L129">
        <v>0.69229999999999992</v>
      </c>
      <c r="M129">
        <v>-2.9231000000000051</v>
      </c>
      <c r="N129">
        <v>-0.96150000000000002</v>
      </c>
    </row>
    <row r="130" spans="1:14" x14ac:dyDescent="0.3">
      <c r="A130">
        <v>400021481</v>
      </c>
      <c r="B130" t="s">
        <v>80</v>
      </c>
      <c r="C130" t="s">
        <v>53</v>
      </c>
      <c r="D130" t="s">
        <v>47</v>
      </c>
      <c r="E130" t="s">
        <v>17</v>
      </c>
      <c r="F130">
        <v>1</v>
      </c>
      <c r="G130">
        <v>-466.66</v>
      </c>
      <c r="H130">
        <v>0</v>
      </c>
      <c r="I130">
        <v>0.66669999999999996</v>
      </c>
      <c r="J130">
        <v>1.3332999999999999</v>
      </c>
      <c r="K130">
        <v>-11.6153</v>
      </c>
      <c r="L130">
        <v>-4.5</v>
      </c>
      <c r="M130">
        <v>-2.7308000000000159</v>
      </c>
      <c r="N130">
        <v>-0.23080000000000001</v>
      </c>
    </row>
    <row r="131" spans="1:14" x14ac:dyDescent="0.3">
      <c r="A131">
        <v>400021481</v>
      </c>
      <c r="B131" t="s">
        <v>80</v>
      </c>
      <c r="C131" t="s">
        <v>47</v>
      </c>
      <c r="D131" t="s">
        <v>53</v>
      </c>
      <c r="E131" t="s">
        <v>18</v>
      </c>
      <c r="F131">
        <v>5</v>
      </c>
      <c r="G131">
        <v>466.66</v>
      </c>
      <c r="H131">
        <v>0</v>
      </c>
      <c r="I131">
        <v>-0.66669999999999996</v>
      </c>
      <c r="J131">
        <v>-1.3332999999999999</v>
      </c>
      <c r="K131">
        <v>11.6153</v>
      </c>
      <c r="L131">
        <v>4.5</v>
      </c>
      <c r="M131">
        <v>2.7308000000000159</v>
      </c>
      <c r="N131">
        <v>0.23080000000000001</v>
      </c>
    </row>
    <row r="132" spans="1:14" x14ac:dyDescent="0.3">
      <c r="A132">
        <v>400021479</v>
      </c>
      <c r="B132" t="s">
        <v>80</v>
      </c>
      <c r="C132" t="s">
        <v>48</v>
      </c>
      <c r="D132" t="s">
        <v>52</v>
      </c>
      <c r="E132" t="s">
        <v>17</v>
      </c>
      <c r="F132">
        <v>1</v>
      </c>
      <c r="G132">
        <v>-57.21</v>
      </c>
      <c r="H132">
        <v>0</v>
      </c>
      <c r="I132">
        <v>0.66669999999999996</v>
      </c>
      <c r="J132">
        <v>0</v>
      </c>
      <c r="K132">
        <v>-11.923</v>
      </c>
      <c r="L132">
        <v>-0.5768999999999993</v>
      </c>
      <c r="M132">
        <v>-2.4615000000000009</v>
      </c>
      <c r="N132">
        <v>0</v>
      </c>
    </row>
    <row r="133" spans="1:14" x14ac:dyDescent="0.3">
      <c r="A133">
        <v>400021479</v>
      </c>
      <c r="B133" t="s">
        <v>80</v>
      </c>
      <c r="C133" t="s">
        <v>52</v>
      </c>
      <c r="D133" t="s">
        <v>48</v>
      </c>
      <c r="E133" t="s">
        <v>18</v>
      </c>
      <c r="F133">
        <v>1</v>
      </c>
      <c r="G133">
        <v>57.21</v>
      </c>
      <c r="H133">
        <v>0</v>
      </c>
      <c r="I133">
        <v>-0.66669999999999996</v>
      </c>
      <c r="J133">
        <v>0</v>
      </c>
      <c r="K133">
        <v>11.923</v>
      </c>
      <c r="L133">
        <v>0.5768999999999993</v>
      </c>
      <c r="M133">
        <v>2.4615000000000009</v>
      </c>
      <c r="N133">
        <v>0</v>
      </c>
    </row>
    <row r="134" spans="1:14" x14ac:dyDescent="0.3">
      <c r="A134">
        <v>400021508</v>
      </c>
      <c r="B134" t="s">
        <v>80</v>
      </c>
      <c r="C134" t="s">
        <v>68</v>
      </c>
      <c r="D134" t="s">
        <v>65</v>
      </c>
      <c r="E134" t="s">
        <v>17</v>
      </c>
      <c r="F134">
        <v>0</v>
      </c>
      <c r="G134">
        <v>-288.86</v>
      </c>
      <c r="H134">
        <v>0</v>
      </c>
      <c r="I134">
        <v>-1.3332999999999999</v>
      </c>
      <c r="J134">
        <v>0</v>
      </c>
      <c r="K134">
        <v>23.961600000000001</v>
      </c>
      <c r="L134">
        <v>-1.6153999999999999</v>
      </c>
      <c r="M134">
        <v>-3.0384999999999991</v>
      </c>
      <c r="N134">
        <v>0.73080000000000001</v>
      </c>
    </row>
    <row r="135" spans="1:14" x14ac:dyDescent="0.3">
      <c r="A135">
        <v>400021508</v>
      </c>
      <c r="B135" t="s">
        <v>80</v>
      </c>
      <c r="C135" t="s">
        <v>65</v>
      </c>
      <c r="D135" t="s">
        <v>68</v>
      </c>
      <c r="E135" t="s">
        <v>18</v>
      </c>
      <c r="F135">
        <v>2</v>
      </c>
      <c r="G135">
        <v>288.86</v>
      </c>
      <c r="H135">
        <v>0</v>
      </c>
      <c r="I135">
        <v>1.3332999999999999</v>
      </c>
      <c r="J135">
        <v>0</v>
      </c>
      <c r="K135">
        <v>-23.961600000000001</v>
      </c>
      <c r="L135">
        <v>1.6153999999999999</v>
      </c>
      <c r="M135">
        <v>3.0384999999999991</v>
      </c>
      <c r="N135">
        <v>-0.73080000000000001</v>
      </c>
    </row>
    <row r="136" spans="1:14" x14ac:dyDescent="0.3">
      <c r="A136">
        <v>400021509</v>
      </c>
      <c r="B136" t="s">
        <v>80</v>
      </c>
      <c r="C136" t="s">
        <v>66</v>
      </c>
      <c r="D136" t="s">
        <v>67</v>
      </c>
      <c r="E136" t="s">
        <v>17</v>
      </c>
      <c r="F136">
        <v>2</v>
      </c>
      <c r="G136">
        <v>367.99</v>
      </c>
      <c r="H136">
        <v>0</v>
      </c>
      <c r="I136">
        <v>0.66669999999999996</v>
      </c>
      <c r="J136">
        <v>1.3332999999999999</v>
      </c>
      <c r="K136">
        <v>22.692299999999999</v>
      </c>
      <c r="L136">
        <v>3.4230999999999998</v>
      </c>
      <c r="M136">
        <v>2.1538000000000181</v>
      </c>
      <c r="N136">
        <v>-3.839999999999999E-2</v>
      </c>
    </row>
    <row r="137" spans="1:14" x14ac:dyDescent="0.3">
      <c r="A137">
        <v>400021509</v>
      </c>
      <c r="B137" t="s">
        <v>80</v>
      </c>
      <c r="C137" t="s">
        <v>67</v>
      </c>
      <c r="D137" t="s">
        <v>66</v>
      </c>
      <c r="E137" t="s">
        <v>18</v>
      </c>
      <c r="F137">
        <v>1</v>
      </c>
      <c r="G137">
        <v>-367.99</v>
      </c>
      <c r="H137">
        <v>0</v>
      </c>
      <c r="I137">
        <v>-0.66669999999999996</v>
      </c>
      <c r="J137">
        <v>-1.3332999999999999</v>
      </c>
      <c r="K137">
        <v>-22.692299999999999</v>
      </c>
      <c r="L137">
        <v>-3.4230999999999998</v>
      </c>
      <c r="M137">
        <v>-2.1538000000000181</v>
      </c>
      <c r="N137">
        <v>3.839999999999999E-2</v>
      </c>
    </row>
    <row r="138" spans="1:14" x14ac:dyDescent="0.3">
      <c r="A138">
        <v>400021500</v>
      </c>
      <c r="B138" t="s">
        <v>80</v>
      </c>
      <c r="C138" t="s">
        <v>64</v>
      </c>
      <c r="D138" t="s">
        <v>70</v>
      </c>
      <c r="E138" t="s">
        <v>17</v>
      </c>
      <c r="F138">
        <v>3</v>
      </c>
      <c r="G138">
        <v>15.7</v>
      </c>
      <c r="H138">
        <v>0</v>
      </c>
      <c r="I138">
        <v>0</v>
      </c>
      <c r="J138">
        <v>-2</v>
      </c>
      <c r="K138">
        <v>-5.7691999999999979</v>
      </c>
      <c r="L138">
        <v>-1.3846000000000001</v>
      </c>
      <c r="M138">
        <v>-0.88460000000000605</v>
      </c>
      <c r="N138">
        <v>0.61539999999999995</v>
      </c>
    </row>
    <row r="139" spans="1:14" x14ac:dyDescent="0.3">
      <c r="A139">
        <v>400021500</v>
      </c>
      <c r="B139" t="s">
        <v>80</v>
      </c>
      <c r="C139" t="s">
        <v>70</v>
      </c>
      <c r="D139" t="s">
        <v>64</v>
      </c>
      <c r="E139" t="s">
        <v>18</v>
      </c>
      <c r="F139">
        <v>1</v>
      </c>
      <c r="G139">
        <v>-15.7</v>
      </c>
      <c r="H139">
        <v>0</v>
      </c>
      <c r="I139">
        <v>0</v>
      </c>
      <c r="J139">
        <v>2</v>
      </c>
      <c r="K139">
        <v>5.7691999999999979</v>
      </c>
      <c r="L139">
        <v>1.3846000000000001</v>
      </c>
      <c r="M139">
        <v>0.88460000000000605</v>
      </c>
      <c r="N139">
        <v>-0.61539999999999995</v>
      </c>
    </row>
    <row r="140" spans="1:14" x14ac:dyDescent="0.3">
      <c r="A140">
        <v>400021505</v>
      </c>
      <c r="B140" t="s">
        <v>80</v>
      </c>
      <c r="C140" t="s">
        <v>71</v>
      </c>
      <c r="D140" t="s">
        <v>63</v>
      </c>
      <c r="E140" t="s">
        <v>17</v>
      </c>
      <c r="F140">
        <v>0</v>
      </c>
      <c r="G140">
        <v>-69.5</v>
      </c>
      <c r="H140">
        <v>0</v>
      </c>
      <c r="I140">
        <v>-0.66669999999999996</v>
      </c>
      <c r="J140">
        <v>0</v>
      </c>
      <c r="K140">
        <v>-4.6154000000000011</v>
      </c>
      <c r="L140">
        <v>-5.8846000000000007</v>
      </c>
      <c r="M140">
        <v>-1.5</v>
      </c>
      <c r="N140">
        <v>0.15379999999999999</v>
      </c>
    </row>
    <row r="141" spans="1:14" x14ac:dyDescent="0.3">
      <c r="A141">
        <v>400021505</v>
      </c>
      <c r="B141" t="s">
        <v>80</v>
      </c>
      <c r="C141" t="s">
        <v>63</v>
      </c>
      <c r="D141" t="s">
        <v>71</v>
      </c>
      <c r="E141" t="s">
        <v>18</v>
      </c>
      <c r="F141">
        <v>0</v>
      </c>
      <c r="G141">
        <v>69.5</v>
      </c>
      <c r="H141">
        <v>0</v>
      </c>
      <c r="I141">
        <v>0.66669999999999996</v>
      </c>
      <c r="J141">
        <v>0</v>
      </c>
      <c r="K141">
        <v>4.6154000000000011</v>
      </c>
      <c r="L141">
        <v>5.8846000000000007</v>
      </c>
      <c r="M141">
        <v>1.5</v>
      </c>
      <c r="N141">
        <v>-0.15379999999999999</v>
      </c>
    </row>
    <row r="142" spans="1:14" x14ac:dyDescent="0.3">
      <c r="A142">
        <v>400021497</v>
      </c>
      <c r="B142" t="s">
        <v>81</v>
      </c>
      <c r="C142" t="s">
        <v>60</v>
      </c>
      <c r="D142" t="s">
        <v>61</v>
      </c>
      <c r="E142" t="s">
        <v>17</v>
      </c>
      <c r="F142">
        <v>3</v>
      </c>
      <c r="G142">
        <v>-26.37</v>
      </c>
      <c r="H142">
        <v>0</v>
      </c>
      <c r="I142">
        <v>-0.33329999999999999</v>
      </c>
      <c r="J142">
        <v>0.33329999999999999</v>
      </c>
      <c r="K142">
        <v>-8.769200000000005</v>
      </c>
      <c r="L142">
        <v>-1.0769</v>
      </c>
      <c r="M142">
        <v>-2.3077000000000112</v>
      </c>
      <c r="N142">
        <v>0</v>
      </c>
    </row>
    <row r="143" spans="1:14" x14ac:dyDescent="0.3">
      <c r="A143">
        <v>400021497</v>
      </c>
      <c r="B143" t="s">
        <v>81</v>
      </c>
      <c r="C143" t="s">
        <v>61</v>
      </c>
      <c r="D143" t="s">
        <v>60</v>
      </c>
      <c r="E143" t="s">
        <v>18</v>
      </c>
      <c r="F143">
        <v>3</v>
      </c>
      <c r="G143">
        <v>26.37</v>
      </c>
      <c r="H143">
        <v>0</v>
      </c>
      <c r="I143">
        <v>0.33329999999999999</v>
      </c>
      <c r="J143">
        <v>-0.33329999999999999</v>
      </c>
      <c r="K143">
        <v>8.769200000000005</v>
      </c>
      <c r="L143">
        <v>1.0769</v>
      </c>
      <c r="M143">
        <v>2.3077000000000112</v>
      </c>
      <c r="N143">
        <v>0</v>
      </c>
    </row>
    <row r="144" spans="1:14" x14ac:dyDescent="0.3">
      <c r="A144">
        <v>400021495</v>
      </c>
      <c r="B144" t="s">
        <v>81</v>
      </c>
      <c r="C144" t="s">
        <v>62</v>
      </c>
      <c r="D144" t="s">
        <v>59</v>
      </c>
      <c r="E144" t="s">
        <v>17</v>
      </c>
      <c r="F144">
        <v>1</v>
      </c>
      <c r="G144">
        <v>-489.53</v>
      </c>
      <c r="H144">
        <v>0</v>
      </c>
      <c r="I144">
        <v>-1</v>
      </c>
      <c r="J144">
        <v>1.6667000000000001</v>
      </c>
      <c r="K144">
        <v>-10.384600000000001</v>
      </c>
      <c r="L144">
        <v>-5.6922999999999986</v>
      </c>
      <c r="M144">
        <v>0.73080000000001633</v>
      </c>
      <c r="N144">
        <v>-0.38460000000000011</v>
      </c>
    </row>
    <row r="145" spans="1:14" x14ac:dyDescent="0.3">
      <c r="A145">
        <v>400021495</v>
      </c>
      <c r="B145" t="s">
        <v>81</v>
      </c>
      <c r="C145" t="s">
        <v>59</v>
      </c>
      <c r="D145" t="s">
        <v>62</v>
      </c>
      <c r="E145" t="s">
        <v>18</v>
      </c>
      <c r="F145">
        <v>3</v>
      </c>
      <c r="G145">
        <v>489.53</v>
      </c>
      <c r="H145">
        <v>0</v>
      </c>
      <c r="I145">
        <v>1</v>
      </c>
      <c r="J145">
        <v>-1.6667000000000001</v>
      </c>
      <c r="K145">
        <v>10.384600000000001</v>
      </c>
      <c r="L145">
        <v>5.6922999999999986</v>
      </c>
      <c r="M145">
        <v>-0.73080000000001633</v>
      </c>
      <c r="N145">
        <v>0.38460000000000011</v>
      </c>
    </row>
    <row r="146" spans="1:14" x14ac:dyDescent="0.3">
      <c r="A146">
        <v>400021518</v>
      </c>
      <c r="B146" t="s">
        <v>81</v>
      </c>
      <c r="C146" t="s">
        <v>16</v>
      </c>
      <c r="D146" t="s">
        <v>22</v>
      </c>
      <c r="E146" t="s">
        <v>17</v>
      </c>
      <c r="F146">
        <v>0</v>
      </c>
      <c r="G146">
        <v>-131.1</v>
      </c>
      <c r="H146">
        <v>0</v>
      </c>
      <c r="I146">
        <v>-1.5</v>
      </c>
      <c r="J146">
        <v>0</v>
      </c>
      <c r="K146">
        <v>-17.124600000000001</v>
      </c>
      <c r="L146">
        <v>-2.7831000000000001</v>
      </c>
      <c r="M146">
        <v>-3.3877000000000241</v>
      </c>
      <c r="N146">
        <v>-0.6431</v>
      </c>
    </row>
    <row r="147" spans="1:14" x14ac:dyDescent="0.3">
      <c r="A147">
        <v>400021518</v>
      </c>
      <c r="B147" t="s">
        <v>81</v>
      </c>
      <c r="C147" t="s">
        <v>22</v>
      </c>
      <c r="D147" t="s">
        <v>16</v>
      </c>
      <c r="E147" t="s">
        <v>18</v>
      </c>
      <c r="F147">
        <v>1</v>
      </c>
      <c r="G147">
        <v>131.1</v>
      </c>
      <c r="H147">
        <v>0</v>
      </c>
      <c r="I147">
        <v>1.5</v>
      </c>
      <c r="J147">
        <v>0</v>
      </c>
      <c r="K147">
        <v>17.124600000000001</v>
      </c>
      <c r="L147">
        <v>2.7831000000000001</v>
      </c>
      <c r="M147">
        <v>3.3877000000000241</v>
      </c>
      <c r="N147">
        <v>0.6431</v>
      </c>
    </row>
    <row r="148" spans="1:14" x14ac:dyDescent="0.3">
      <c r="A148">
        <v>400021516</v>
      </c>
      <c r="B148" t="s">
        <v>82</v>
      </c>
      <c r="C148" t="s">
        <v>29</v>
      </c>
      <c r="D148" t="s">
        <v>39</v>
      </c>
      <c r="E148" t="s">
        <v>17</v>
      </c>
      <c r="F148">
        <v>2</v>
      </c>
      <c r="G148">
        <v>104.28</v>
      </c>
      <c r="H148">
        <v>0</v>
      </c>
      <c r="I148">
        <v>0</v>
      </c>
      <c r="J148">
        <v>-0.5</v>
      </c>
      <c r="K148">
        <v>4.7308000000000021</v>
      </c>
      <c r="L148">
        <v>1.577</v>
      </c>
      <c r="M148">
        <v>1.5</v>
      </c>
      <c r="N148">
        <v>-0.15379999999999999</v>
      </c>
    </row>
    <row r="149" spans="1:14" x14ac:dyDescent="0.3">
      <c r="A149">
        <v>400021516</v>
      </c>
      <c r="B149" t="s">
        <v>82</v>
      </c>
      <c r="C149" t="s">
        <v>39</v>
      </c>
      <c r="D149" t="s">
        <v>29</v>
      </c>
      <c r="E149" t="s">
        <v>18</v>
      </c>
      <c r="F149">
        <v>1</v>
      </c>
      <c r="G149">
        <v>-104.28</v>
      </c>
      <c r="H149">
        <v>0</v>
      </c>
      <c r="I149">
        <v>0</v>
      </c>
      <c r="J149">
        <v>0.5</v>
      </c>
      <c r="K149">
        <v>-4.7308000000000021</v>
      </c>
      <c r="L149">
        <v>-1.577</v>
      </c>
      <c r="M149">
        <v>-1.5</v>
      </c>
      <c r="N149">
        <v>0.15379999999999999</v>
      </c>
    </row>
    <row r="150" spans="1:14" x14ac:dyDescent="0.3">
      <c r="A150">
        <v>400021513</v>
      </c>
      <c r="B150" t="s">
        <v>82</v>
      </c>
      <c r="C150" t="s">
        <v>36</v>
      </c>
      <c r="D150" t="s">
        <v>26</v>
      </c>
      <c r="E150" t="s">
        <v>17</v>
      </c>
      <c r="F150">
        <v>1</v>
      </c>
      <c r="G150">
        <v>230.42</v>
      </c>
      <c r="H150">
        <v>0</v>
      </c>
      <c r="I150">
        <v>2</v>
      </c>
      <c r="J150">
        <v>0</v>
      </c>
      <c r="K150">
        <v>5.3846000000000016</v>
      </c>
      <c r="L150">
        <v>2.3077000000000001</v>
      </c>
      <c r="M150">
        <v>4.5768999999999949</v>
      </c>
      <c r="N150">
        <v>-0.61540000000000006</v>
      </c>
    </row>
    <row r="151" spans="1:14" x14ac:dyDescent="0.3">
      <c r="A151">
        <v>400021513</v>
      </c>
      <c r="B151" t="s">
        <v>82</v>
      </c>
      <c r="C151" t="s">
        <v>26</v>
      </c>
      <c r="D151" t="s">
        <v>36</v>
      </c>
      <c r="E151" t="s">
        <v>18</v>
      </c>
      <c r="F151">
        <v>1</v>
      </c>
      <c r="G151">
        <v>-230.42</v>
      </c>
      <c r="H151">
        <v>0</v>
      </c>
      <c r="I151">
        <v>-2</v>
      </c>
      <c r="J151">
        <v>0</v>
      </c>
      <c r="K151">
        <v>-5.3846000000000016</v>
      </c>
      <c r="L151">
        <v>-2.3077000000000001</v>
      </c>
      <c r="M151">
        <v>-4.5768999999999949</v>
      </c>
      <c r="N151">
        <v>0.61540000000000006</v>
      </c>
    </row>
    <row r="152" spans="1:14" x14ac:dyDescent="0.3">
      <c r="A152">
        <v>400021522</v>
      </c>
      <c r="B152" t="s">
        <v>83</v>
      </c>
      <c r="C152" t="s">
        <v>38</v>
      </c>
      <c r="D152" t="s">
        <v>30</v>
      </c>
      <c r="E152" t="s">
        <v>17</v>
      </c>
      <c r="F152">
        <v>1</v>
      </c>
      <c r="G152">
        <v>-1.53</v>
      </c>
      <c r="H152">
        <v>0</v>
      </c>
      <c r="I152">
        <v>1</v>
      </c>
      <c r="J152">
        <v>0.25</v>
      </c>
      <c r="K152">
        <v>4.7692000000000014</v>
      </c>
      <c r="L152">
        <v>2.0768999999999989</v>
      </c>
      <c r="M152">
        <v>2.7691999999999841</v>
      </c>
      <c r="N152">
        <v>0</v>
      </c>
    </row>
    <row r="153" spans="1:14" x14ac:dyDescent="0.3">
      <c r="A153">
        <v>400021522</v>
      </c>
      <c r="B153" t="s">
        <v>83</v>
      </c>
      <c r="C153" t="s">
        <v>30</v>
      </c>
      <c r="D153" t="s">
        <v>38</v>
      </c>
      <c r="E153" t="s">
        <v>18</v>
      </c>
      <c r="F153">
        <v>1</v>
      </c>
      <c r="G153">
        <v>1.53</v>
      </c>
      <c r="H153">
        <v>0</v>
      </c>
      <c r="I153">
        <v>-1</v>
      </c>
      <c r="J153">
        <v>-0.25</v>
      </c>
      <c r="K153">
        <v>-4.7692000000000014</v>
      </c>
      <c r="L153">
        <v>-2.0768999999999989</v>
      </c>
      <c r="M153">
        <v>-2.7691999999999841</v>
      </c>
      <c r="N153">
        <v>0</v>
      </c>
    </row>
    <row r="154" spans="1:14" x14ac:dyDescent="0.3">
      <c r="A154">
        <v>400021514</v>
      </c>
      <c r="B154" t="s">
        <v>83</v>
      </c>
      <c r="C154" t="s">
        <v>40</v>
      </c>
      <c r="D154" t="s">
        <v>57</v>
      </c>
      <c r="E154" t="s">
        <v>17</v>
      </c>
      <c r="F154">
        <v>1</v>
      </c>
      <c r="G154">
        <v>-16.57</v>
      </c>
      <c r="H154">
        <v>0</v>
      </c>
      <c r="I154">
        <v>-1</v>
      </c>
      <c r="J154">
        <v>-1.25</v>
      </c>
      <c r="K154">
        <v>-4.807699999999997</v>
      </c>
      <c r="L154">
        <v>-1.7692000000000001</v>
      </c>
      <c r="M154">
        <v>-4.2306999999999846</v>
      </c>
      <c r="N154">
        <v>0.15379999999999999</v>
      </c>
    </row>
    <row r="155" spans="1:14" x14ac:dyDescent="0.3">
      <c r="A155">
        <v>400021514</v>
      </c>
      <c r="B155" t="s">
        <v>83</v>
      </c>
      <c r="C155" t="s">
        <v>57</v>
      </c>
      <c r="D155" t="s">
        <v>40</v>
      </c>
      <c r="E155" t="s">
        <v>18</v>
      </c>
      <c r="F155">
        <v>2</v>
      </c>
      <c r="G155">
        <v>16.57</v>
      </c>
      <c r="H155">
        <v>0</v>
      </c>
      <c r="I155">
        <v>1</v>
      </c>
      <c r="J155">
        <v>1.25</v>
      </c>
      <c r="K155">
        <v>4.807699999999997</v>
      </c>
      <c r="L155">
        <v>1.7692000000000001</v>
      </c>
      <c r="M155">
        <v>4.2306999999999846</v>
      </c>
      <c r="N155">
        <v>-0.15379999999999999</v>
      </c>
    </row>
    <row r="156" spans="1:14" x14ac:dyDescent="0.3">
      <c r="A156">
        <v>400021523</v>
      </c>
      <c r="B156" t="s">
        <v>83</v>
      </c>
      <c r="C156" t="s">
        <v>54</v>
      </c>
      <c r="D156" t="s">
        <v>43</v>
      </c>
      <c r="E156" t="s">
        <v>17</v>
      </c>
      <c r="F156">
        <v>3</v>
      </c>
      <c r="G156">
        <v>360.91</v>
      </c>
      <c r="H156">
        <v>0</v>
      </c>
      <c r="I156">
        <v>0.75</v>
      </c>
      <c r="J156">
        <v>-1.25</v>
      </c>
      <c r="K156">
        <v>13.269299999999999</v>
      </c>
      <c r="L156">
        <v>1.8462000000000001</v>
      </c>
      <c r="M156">
        <v>-1.2691999999999839</v>
      </c>
      <c r="N156">
        <v>-0.1923</v>
      </c>
    </row>
    <row r="157" spans="1:14" x14ac:dyDescent="0.3">
      <c r="A157">
        <v>400021523</v>
      </c>
      <c r="B157" t="s">
        <v>83</v>
      </c>
      <c r="C157" t="s">
        <v>43</v>
      </c>
      <c r="D157" t="s">
        <v>54</v>
      </c>
      <c r="E157" t="s">
        <v>18</v>
      </c>
      <c r="F157">
        <v>0</v>
      </c>
      <c r="G157">
        <v>-360.91</v>
      </c>
      <c r="H157">
        <v>0</v>
      </c>
      <c r="I157">
        <v>-0.75</v>
      </c>
      <c r="J157">
        <v>1.25</v>
      </c>
      <c r="K157">
        <v>-13.269299999999999</v>
      </c>
      <c r="L157">
        <v>-1.8462000000000001</v>
      </c>
      <c r="M157">
        <v>1.2691999999999839</v>
      </c>
      <c r="N157">
        <v>0.1923</v>
      </c>
    </row>
    <row r="158" spans="1:14" x14ac:dyDescent="0.3">
      <c r="A158">
        <v>400021520</v>
      </c>
      <c r="B158" t="s">
        <v>84</v>
      </c>
      <c r="C158" t="s">
        <v>15</v>
      </c>
      <c r="D158" t="s">
        <v>41</v>
      </c>
      <c r="E158" t="s">
        <v>17</v>
      </c>
      <c r="F158">
        <v>2</v>
      </c>
      <c r="G158">
        <v>88.96</v>
      </c>
      <c r="H158">
        <v>1</v>
      </c>
      <c r="I158">
        <v>1</v>
      </c>
      <c r="J158">
        <v>-0.5</v>
      </c>
      <c r="K158">
        <v>18.038499999999999</v>
      </c>
      <c r="L158">
        <v>1.1922999999999999</v>
      </c>
      <c r="M158">
        <v>-1.0384999999999991</v>
      </c>
      <c r="N158">
        <v>-0.38460000000000011</v>
      </c>
    </row>
    <row r="159" spans="1:14" x14ac:dyDescent="0.3">
      <c r="A159">
        <v>400021520</v>
      </c>
      <c r="B159" t="s">
        <v>84</v>
      </c>
      <c r="C159" t="s">
        <v>41</v>
      </c>
      <c r="D159" t="s">
        <v>15</v>
      </c>
      <c r="E159" t="s">
        <v>18</v>
      </c>
      <c r="F159">
        <v>0</v>
      </c>
      <c r="G159">
        <v>-88.96</v>
      </c>
      <c r="H159">
        <v>-1</v>
      </c>
      <c r="I159">
        <v>-1</v>
      </c>
      <c r="J159">
        <v>0.5</v>
      </c>
      <c r="K159">
        <v>-18.038499999999999</v>
      </c>
      <c r="L159">
        <v>-1.1922999999999999</v>
      </c>
      <c r="M159">
        <v>1.0384999999999991</v>
      </c>
      <c r="N159">
        <v>0.38460000000000011</v>
      </c>
    </row>
    <row r="160" spans="1:14" x14ac:dyDescent="0.3">
      <c r="A160">
        <v>400021512</v>
      </c>
      <c r="B160" t="s">
        <v>84</v>
      </c>
      <c r="C160" t="s">
        <v>65</v>
      </c>
      <c r="D160" t="s">
        <v>64</v>
      </c>
      <c r="E160" t="s">
        <v>17</v>
      </c>
      <c r="F160">
        <v>2</v>
      </c>
      <c r="G160">
        <v>353.59</v>
      </c>
      <c r="H160">
        <v>0</v>
      </c>
      <c r="I160">
        <v>0.5</v>
      </c>
      <c r="J160">
        <v>-0.25</v>
      </c>
      <c r="K160">
        <v>4.2306999999999988</v>
      </c>
      <c r="L160">
        <v>3.2307999999999999</v>
      </c>
      <c r="M160">
        <v>3.615399999999994</v>
      </c>
      <c r="N160">
        <v>-0.80769999999999997</v>
      </c>
    </row>
    <row r="161" spans="1:14" x14ac:dyDescent="0.3">
      <c r="A161">
        <v>400021512</v>
      </c>
      <c r="B161" t="s">
        <v>84</v>
      </c>
      <c r="C161" t="s">
        <v>64</v>
      </c>
      <c r="D161" t="s">
        <v>65</v>
      </c>
      <c r="E161" t="s">
        <v>18</v>
      </c>
      <c r="F161">
        <v>1</v>
      </c>
      <c r="G161">
        <v>-353.59</v>
      </c>
      <c r="H161">
        <v>0</v>
      </c>
      <c r="I161">
        <v>-0.5</v>
      </c>
      <c r="J161">
        <v>0.25</v>
      </c>
      <c r="K161">
        <v>-4.2306999999999988</v>
      </c>
      <c r="L161">
        <v>-3.2307999999999999</v>
      </c>
      <c r="M161">
        <v>-3.615399999999994</v>
      </c>
      <c r="N161">
        <v>0.80769999999999997</v>
      </c>
    </row>
    <row r="162" spans="1:14" x14ac:dyDescent="0.3">
      <c r="A162">
        <v>400021525</v>
      </c>
      <c r="B162" t="s">
        <v>84</v>
      </c>
      <c r="C162" t="s">
        <v>47</v>
      </c>
      <c r="D162" t="s">
        <v>55</v>
      </c>
      <c r="E162" t="s">
        <v>17</v>
      </c>
      <c r="F162">
        <v>3</v>
      </c>
      <c r="G162">
        <v>58.17</v>
      </c>
      <c r="H162">
        <v>0</v>
      </c>
      <c r="I162">
        <v>-0.5</v>
      </c>
      <c r="J162">
        <v>-1</v>
      </c>
      <c r="K162">
        <v>3.8845999999999989</v>
      </c>
      <c r="L162">
        <v>3.307700000000001</v>
      </c>
      <c r="M162">
        <v>1.8462000000000101</v>
      </c>
      <c r="N162">
        <v>-0.11539999999999991</v>
      </c>
    </row>
    <row r="163" spans="1:14" x14ac:dyDescent="0.3">
      <c r="A163">
        <v>400021525</v>
      </c>
      <c r="B163" t="s">
        <v>84</v>
      </c>
      <c r="C163" t="s">
        <v>55</v>
      </c>
      <c r="D163" t="s">
        <v>47</v>
      </c>
      <c r="E163" t="s">
        <v>18</v>
      </c>
      <c r="F163">
        <v>2</v>
      </c>
      <c r="G163">
        <v>-58.17</v>
      </c>
      <c r="H163">
        <v>0</v>
      </c>
      <c r="I163">
        <v>0.5</v>
      </c>
      <c r="J163">
        <v>1</v>
      </c>
      <c r="K163">
        <v>-3.8845999999999989</v>
      </c>
      <c r="L163">
        <v>-3.307700000000001</v>
      </c>
      <c r="M163">
        <v>-1.8462000000000101</v>
      </c>
      <c r="N163">
        <v>0.11539999999999991</v>
      </c>
    </row>
    <row r="164" spans="1:14" x14ac:dyDescent="0.3">
      <c r="A164">
        <v>400021524</v>
      </c>
      <c r="B164" t="s">
        <v>85</v>
      </c>
      <c r="C164" t="s">
        <v>25</v>
      </c>
      <c r="D164" t="s">
        <v>23</v>
      </c>
      <c r="E164" t="s">
        <v>17</v>
      </c>
      <c r="F164">
        <v>2</v>
      </c>
      <c r="G164">
        <v>284.01</v>
      </c>
      <c r="H164">
        <v>1</v>
      </c>
      <c r="I164">
        <v>0.75</v>
      </c>
      <c r="J164">
        <v>-0.5</v>
      </c>
      <c r="K164">
        <v>14.538399999999999</v>
      </c>
      <c r="L164">
        <v>1.423</v>
      </c>
      <c r="M164">
        <v>-3.6922999999999888</v>
      </c>
      <c r="N164">
        <v>-0.23069999999999999</v>
      </c>
    </row>
    <row r="165" spans="1:14" x14ac:dyDescent="0.3">
      <c r="A165">
        <v>400021524</v>
      </c>
      <c r="B165" t="s">
        <v>85</v>
      </c>
      <c r="C165" t="s">
        <v>23</v>
      </c>
      <c r="D165" t="s">
        <v>25</v>
      </c>
      <c r="E165" t="s">
        <v>18</v>
      </c>
      <c r="F165">
        <v>0</v>
      </c>
      <c r="G165">
        <v>-284.01</v>
      </c>
      <c r="H165">
        <v>-1</v>
      </c>
      <c r="I165">
        <v>-0.75</v>
      </c>
      <c r="J165">
        <v>0.5</v>
      </c>
      <c r="K165">
        <v>-14.538399999999999</v>
      </c>
      <c r="L165">
        <v>-1.423</v>
      </c>
      <c r="M165">
        <v>3.6922999999999888</v>
      </c>
      <c r="N165">
        <v>0.23069999999999999</v>
      </c>
    </row>
    <row r="166" spans="1:14" x14ac:dyDescent="0.3">
      <c r="A166">
        <v>400021519</v>
      </c>
      <c r="B166" t="s">
        <v>85</v>
      </c>
      <c r="C166" t="s">
        <v>45</v>
      </c>
      <c r="D166" t="s">
        <v>61</v>
      </c>
      <c r="E166" t="s">
        <v>17</v>
      </c>
      <c r="F166">
        <v>3</v>
      </c>
      <c r="G166">
        <v>277.31</v>
      </c>
      <c r="H166">
        <v>0</v>
      </c>
      <c r="I166">
        <v>-0.25</v>
      </c>
      <c r="J166">
        <v>-1.5</v>
      </c>
      <c r="K166">
        <v>-7.6538000000000039</v>
      </c>
      <c r="L166">
        <v>-0.92309999999999981</v>
      </c>
      <c r="M166">
        <v>-3.230700000000013</v>
      </c>
      <c r="N166">
        <v>-0.53839999999999999</v>
      </c>
    </row>
    <row r="167" spans="1:14" x14ac:dyDescent="0.3">
      <c r="A167">
        <v>400021519</v>
      </c>
      <c r="B167" t="s">
        <v>85</v>
      </c>
      <c r="C167" t="s">
        <v>61</v>
      </c>
      <c r="D167" t="s">
        <v>45</v>
      </c>
      <c r="E167" t="s">
        <v>18</v>
      </c>
      <c r="F167">
        <v>0</v>
      </c>
      <c r="G167">
        <v>-277.31</v>
      </c>
      <c r="H167">
        <v>0</v>
      </c>
      <c r="I167">
        <v>0.25</v>
      </c>
      <c r="J167">
        <v>1.5</v>
      </c>
      <c r="K167">
        <v>7.6538000000000039</v>
      </c>
      <c r="L167">
        <v>0.92309999999999981</v>
      </c>
      <c r="M167">
        <v>3.230700000000013</v>
      </c>
      <c r="N167">
        <v>0.53839999999999999</v>
      </c>
    </row>
    <row r="168" spans="1:14" x14ac:dyDescent="0.3">
      <c r="A168">
        <v>400021526</v>
      </c>
      <c r="B168" t="s">
        <v>85</v>
      </c>
      <c r="C168" t="s">
        <v>63</v>
      </c>
      <c r="D168" t="s">
        <v>66</v>
      </c>
      <c r="E168" t="s">
        <v>17</v>
      </c>
      <c r="F168">
        <v>2</v>
      </c>
      <c r="G168">
        <v>52.98</v>
      </c>
      <c r="H168">
        <v>0</v>
      </c>
      <c r="I168">
        <v>0.25</v>
      </c>
      <c r="J168">
        <v>-1</v>
      </c>
      <c r="K168">
        <v>0.69230000000000302</v>
      </c>
      <c r="L168">
        <v>4.1154000000000002</v>
      </c>
      <c r="M168">
        <v>-3.2692000000000121</v>
      </c>
      <c r="N168">
        <v>-0.1154000000000001</v>
      </c>
    </row>
    <row r="169" spans="1:14" x14ac:dyDescent="0.3">
      <c r="A169">
        <v>400021526</v>
      </c>
      <c r="B169" t="s">
        <v>85</v>
      </c>
      <c r="C169" t="s">
        <v>66</v>
      </c>
      <c r="D169" t="s">
        <v>63</v>
      </c>
      <c r="E169" t="s">
        <v>18</v>
      </c>
      <c r="F169">
        <v>1</v>
      </c>
      <c r="G169">
        <v>-52.98</v>
      </c>
      <c r="H169">
        <v>0</v>
      </c>
      <c r="I169">
        <v>-0.25</v>
      </c>
      <c r="J169">
        <v>1</v>
      </c>
      <c r="K169">
        <v>-0.69230000000000302</v>
      </c>
      <c r="L169">
        <v>-4.1154000000000002</v>
      </c>
      <c r="M169">
        <v>3.2692000000000121</v>
      </c>
      <c r="N169">
        <v>0.1154000000000001</v>
      </c>
    </row>
    <row r="170" spans="1:14" x14ac:dyDescent="0.3">
      <c r="A170">
        <v>400021527</v>
      </c>
      <c r="B170" t="s">
        <v>86</v>
      </c>
      <c r="C170" t="s">
        <v>28</v>
      </c>
      <c r="D170" t="s">
        <v>60</v>
      </c>
      <c r="E170" t="s">
        <v>17</v>
      </c>
      <c r="F170">
        <v>2</v>
      </c>
      <c r="G170">
        <v>79.03</v>
      </c>
      <c r="H170">
        <v>0</v>
      </c>
      <c r="I170">
        <v>0.5</v>
      </c>
      <c r="J170">
        <v>-1</v>
      </c>
      <c r="K170">
        <v>15</v>
      </c>
      <c r="L170">
        <v>0.30760000000000082</v>
      </c>
      <c r="M170">
        <v>2.5769999999999982</v>
      </c>
      <c r="N170">
        <v>3.8499999999999979E-2</v>
      </c>
    </row>
    <row r="171" spans="1:14" x14ac:dyDescent="0.3">
      <c r="A171">
        <v>400021527</v>
      </c>
      <c r="B171" t="s">
        <v>86</v>
      </c>
      <c r="C171" t="s">
        <v>60</v>
      </c>
      <c r="D171" t="s">
        <v>28</v>
      </c>
      <c r="E171" t="s">
        <v>18</v>
      </c>
      <c r="F171">
        <v>0</v>
      </c>
      <c r="G171">
        <v>-79.03</v>
      </c>
      <c r="H171">
        <v>0</v>
      </c>
      <c r="I171">
        <v>-0.5</v>
      </c>
      <c r="J171">
        <v>1</v>
      </c>
      <c r="K171">
        <v>-15</v>
      </c>
      <c r="L171">
        <v>-0.30760000000000082</v>
      </c>
      <c r="M171">
        <v>-2.5769999999999982</v>
      </c>
      <c r="N171">
        <v>-3.8499999999999979E-2</v>
      </c>
    </row>
    <row r="172" spans="1:14" x14ac:dyDescent="0.3">
      <c r="A172">
        <v>400021515</v>
      </c>
      <c r="B172" t="s">
        <v>86</v>
      </c>
      <c r="C172" t="s">
        <v>34</v>
      </c>
      <c r="D172" t="s">
        <v>48</v>
      </c>
      <c r="E172" t="s">
        <v>17</v>
      </c>
      <c r="F172">
        <v>1</v>
      </c>
      <c r="G172">
        <v>16.97</v>
      </c>
      <c r="H172">
        <v>0</v>
      </c>
      <c r="I172">
        <v>-0.75</v>
      </c>
      <c r="J172">
        <v>-0.25</v>
      </c>
      <c r="K172">
        <v>-4.3461999999999996</v>
      </c>
      <c r="L172">
        <v>-2.346200000000001</v>
      </c>
      <c r="M172">
        <v>2.384600000000006</v>
      </c>
      <c r="N172">
        <v>0.46150000000000002</v>
      </c>
    </row>
    <row r="173" spans="1:14" x14ac:dyDescent="0.3">
      <c r="A173">
        <v>400021515</v>
      </c>
      <c r="B173" t="s">
        <v>86</v>
      </c>
      <c r="C173" t="s">
        <v>48</v>
      </c>
      <c r="D173" t="s">
        <v>34</v>
      </c>
      <c r="E173" t="s">
        <v>18</v>
      </c>
      <c r="F173">
        <v>1</v>
      </c>
      <c r="G173">
        <v>-16.97</v>
      </c>
      <c r="H173">
        <v>0</v>
      </c>
      <c r="I173">
        <v>0.75</v>
      </c>
      <c r="J173">
        <v>0.25</v>
      </c>
      <c r="K173">
        <v>4.3461999999999996</v>
      </c>
      <c r="L173">
        <v>2.346200000000001</v>
      </c>
      <c r="M173">
        <v>-2.384600000000006</v>
      </c>
      <c r="N173">
        <v>-0.46150000000000002</v>
      </c>
    </row>
    <row r="174" spans="1:14" x14ac:dyDescent="0.3">
      <c r="A174">
        <v>400021521</v>
      </c>
      <c r="B174" t="s">
        <v>86</v>
      </c>
      <c r="C174" t="s">
        <v>59</v>
      </c>
      <c r="D174" t="s">
        <v>46</v>
      </c>
      <c r="E174" t="s">
        <v>17</v>
      </c>
      <c r="F174">
        <v>3</v>
      </c>
      <c r="G174">
        <v>506.16</v>
      </c>
      <c r="H174">
        <v>0</v>
      </c>
      <c r="I174">
        <v>1.5</v>
      </c>
      <c r="J174">
        <v>-0.25</v>
      </c>
      <c r="K174">
        <v>18.884599999999999</v>
      </c>
      <c r="L174">
        <v>6.2306999999999997</v>
      </c>
      <c r="M174">
        <v>-1.769300000000015</v>
      </c>
      <c r="N174">
        <v>-7.6899999999999968E-2</v>
      </c>
    </row>
    <row r="175" spans="1:14" x14ac:dyDescent="0.3">
      <c r="A175">
        <v>400021521</v>
      </c>
      <c r="B175" t="s">
        <v>86</v>
      </c>
      <c r="C175" t="s">
        <v>46</v>
      </c>
      <c r="D175" t="s">
        <v>59</v>
      </c>
      <c r="E175" t="s">
        <v>18</v>
      </c>
      <c r="F175">
        <v>2</v>
      </c>
      <c r="G175">
        <v>-506.16</v>
      </c>
      <c r="H175">
        <v>0</v>
      </c>
      <c r="I175">
        <v>-1.5</v>
      </c>
      <c r="J175">
        <v>0.25</v>
      </c>
      <c r="K175">
        <v>-18.884599999999999</v>
      </c>
      <c r="L175">
        <v>-6.2306999999999997</v>
      </c>
      <c r="M175">
        <v>1.769300000000015</v>
      </c>
      <c r="N175">
        <v>7.6899999999999968E-2</v>
      </c>
    </row>
    <row r="176" spans="1:14" x14ac:dyDescent="0.3">
      <c r="A176">
        <v>400021517</v>
      </c>
      <c r="B176" t="s">
        <v>87</v>
      </c>
      <c r="C176" t="s">
        <v>71</v>
      </c>
      <c r="D176" t="s">
        <v>67</v>
      </c>
      <c r="E176" t="s">
        <v>17</v>
      </c>
      <c r="F176">
        <v>1</v>
      </c>
      <c r="G176">
        <v>351.47</v>
      </c>
      <c r="H176">
        <v>0</v>
      </c>
      <c r="I176">
        <v>0.5</v>
      </c>
      <c r="J176">
        <v>-0.25</v>
      </c>
      <c r="K176">
        <v>18.769200000000001</v>
      </c>
      <c r="L176">
        <v>1.6538999999999999</v>
      </c>
      <c r="M176">
        <v>-2.615399999999994</v>
      </c>
      <c r="N176">
        <v>0</v>
      </c>
    </row>
    <row r="177" spans="1:14" x14ac:dyDescent="0.3">
      <c r="A177">
        <v>400021517</v>
      </c>
      <c r="B177" t="s">
        <v>87</v>
      </c>
      <c r="C177" t="s">
        <v>67</v>
      </c>
      <c r="D177" t="s">
        <v>71</v>
      </c>
      <c r="E177" t="s">
        <v>18</v>
      </c>
      <c r="F177">
        <v>0</v>
      </c>
      <c r="G177">
        <v>-351.47</v>
      </c>
      <c r="H177">
        <v>0</v>
      </c>
      <c r="I177">
        <v>-0.5</v>
      </c>
      <c r="J177">
        <v>0.25</v>
      </c>
      <c r="K177">
        <v>-18.769200000000001</v>
      </c>
      <c r="L177">
        <v>-1.6538999999999999</v>
      </c>
      <c r="M177">
        <v>2.615399999999994</v>
      </c>
      <c r="N177">
        <v>0</v>
      </c>
    </row>
    <row r="178" spans="1:14" x14ac:dyDescent="0.3">
      <c r="A178">
        <v>400021530</v>
      </c>
      <c r="B178" t="s">
        <v>87</v>
      </c>
      <c r="C178" t="s">
        <v>22</v>
      </c>
      <c r="D178" t="s">
        <v>30</v>
      </c>
      <c r="E178" t="s">
        <v>17</v>
      </c>
      <c r="F178">
        <v>0</v>
      </c>
      <c r="G178">
        <v>-195.62</v>
      </c>
      <c r="H178">
        <v>0</v>
      </c>
      <c r="I178">
        <v>0.4</v>
      </c>
      <c r="J178">
        <v>-0.2</v>
      </c>
      <c r="K178">
        <v>9.0383999999999993</v>
      </c>
      <c r="L178">
        <v>1.230799999999999</v>
      </c>
      <c r="M178">
        <v>-7.6899999999994861E-2</v>
      </c>
      <c r="N178">
        <v>0</v>
      </c>
    </row>
    <row r="179" spans="1:14" x14ac:dyDescent="0.3">
      <c r="A179">
        <v>400021530</v>
      </c>
      <c r="B179" t="s">
        <v>87</v>
      </c>
      <c r="C179" t="s">
        <v>30</v>
      </c>
      <c r="D179" t="s">
        <v>22</v>
      </c>
      <c r="E179" t="s">
        <v>18</v>
      </c>
      <c r="F179">
        <v>3</v>
      </c>
      <c r="G179">
        <v>195.62</v>
      </c>
      <c r="H179">
        <v>0</v>
      </c>
      <c r="I179">
        <v>-0.4</v>
      </c>
      <c r="J179">
        <v>0.2</v>
      </c>
      <c r="K179">
        <v>-9.0383999999999993</v>
      </c>
      <c r="L179">
        <v>-1.230799999999999</v>
      </c>
      <c r="M179">
        <v>7.6899999999994861E-2</v>
      </c>
      <c r="N179">
        <v>0</v>
      </c>
    </row>
    <row r="180" spans="1:14" x14ac:dyDescent="0.3">
      <c r="A180">
        <v>400021533</v>
      </c>
      <c r="B180" t="s">
        <v>87</v>
      </c>
      <c r="C180" t="s">
        <v>26</v>
      </c>
      <c r="D180" t="s">
        <v>54</v>
      </c>
      <c r="E180" t="s">
        <v>17</v>
      </c>
      <c r="F180">
        <v>0</v>
      </c>
      <c r="G180">
        <v>-365.35</v>
      </c>
      <c r="H180">
        <v>0</v>
      </c>
      <c r="I180">
        <v>-2</v>
      </c>
      <c r="J180">
        <v>0.6</v>
      </c>
      <c r="K180">
        <v>-5.9616000000000007</v>
      </c>
      <c r="L180">
        <v>-2.4615999999999998</v>
      </c>
      <c r="M180">
        <v>-3.3077000000000112</v>
      </c>
      <c r="N180">
        <v>0.1923</v>
      </c>
    </row>
    <row r="181" spans="1:14" x14ac:dyDescent="0.3">
      <c r="A181">
        <v>400021533</v>
      </c>
      <c r="B181" t="s">
        <v>87</v>
      </c>
      <c r="C181" t="s">
        <v>54</v>
      </c>
      <c r="D181" t="s">
        <v>26</v>
      </c>
      <c r="E181" t="s">
        <v>18</v>
      </c>
      <c r="F181">
        <v>1</v>
      </c>
      <c r="G181">
        <v>365.35</v>
      </c>
      <c r="H181">
        <v>0</v>
      </c>
      <c r="I181">
        <v>2</v>
      </c>
      <c r="J181">
        <v>-0.6</v>
      </c>
      <c r="K181">
        <v>5.9616000000000007</v>
      </c>
      <c r="L181">
        <v>2.4615999999999998</v>
      </c>
      <c r="M181">
        <v>3.3077000000000112</v>
      </c>
      <c r="N181">
        <v>-0.1923</v>
      </c>
    </row>
    <row r="182" spans="1:14" x14ac:dyDescent="0.3">
      <c r="A182">
        <v>400021532</v>
      </c>
      <c r="B182" t="s">
        <v>88</v>
      </c>
      <c r="C182" t="s">
        <v>29</v>
      </c>
      <c r="D182" t="s">
        <v>57</v>
      </c>
      <c r="E182" t="s">
        <v>17</v>
      </c>
      <c r="F182">
        <v>1</v>
      </c>
      <c r="G182">
        <v>208.42</v>
      </c>
      <c r="H182">
        <v>0</v>
      </c>
      <c r="I182">
        <v>-0.2</v>
      </c>
      <c r="J182">
        <v>-1.2</v>
      </c>
      <c r="K182">
        <v>3.8077000000000041</v>
      </c>
      <c r="L182">
        <v>1.1153999999999999</v>
      </c>
      <c r="M182">
        <v>-4.0383999999999958</v>
      </c>
      <c r="N182">
        <v>-0.11539999999999991</v>
      </c>
    </row>
    <row r="183" spans="1:14" x14ac:dyDescent="0.3">
      <c r="A183">
        <v>400021532</v>
      </c>
      <c r="B183" t="s">
        <v>88</v>
      </c>
      <c r="C183" t="s">
        <v>57</v>
      </c>
      <c r="D183" t="s">
        <v>29</v>
      </c>
      <c r="E183" t="s">
        <v>18</v>
      </c>
      <c r="F183">
        <v>2</v>
      </c>
      <c r="G183">
        <v>-208.42</v>
      </c>
      <c r="H183">
        <v>0</v>
      </c>
      <c r="I183">
        <v>0.2</v>
      </c>
      <c r="J183">
        <v>1.2</v>
      </c>
      <c r="K183">
        <v>-3.8077000000000041</v>
      </c>
      <c r="L183">
        <v>-1.1153999999999999</v>
      </c>
      <c r="M183">
        <v>4.0383999999999958</v>
      </c>
      <c r="N183">
        <v>0.11539999999999991</v>
      </c>
    </row>
    <row r="184" spans="1:14" x14ac:dyDescent="0.3">
      <c r="A184">
        <v>400021531</v>
      </c>
      <c r="B184" t="s">
        <v>89</v>
      </c>
      <c r="C184" t="s">
        <v>15</v>
      </c>
      <c r="D184" t="s">
        <v>65</v>
      </c>
      <c r="E184" t="s">
        <v>17</v>
      </c>
      <c r="F184">
        <v>2</v>
      </c>
      <c r="G184">
        <v>-140.54</v>
      </c>
      <c r="H184">
        <v>1</v>
      </c>
      <c r="I184">
        <v>0</v>
      </c>
      <c r="J184">
        <v>-0.6</v>
      </c>
      <c r="K184">
        <v>12.961600000000001</v>
      </c>
      <c r="L184">
        <v>-1.6153999999999999</v>
      </c>
      <c r="M184">
        <v>-5.115399999999994</v>
      </c>
      <c r="N184">
        <v>0.34620000000000001</v>
      </c>
    </row>
    <row r="185" spans="1:14" x14ac:dyDescent="0.3">
      <c r="A185">
        <v>400021531</v>
      </c>
      <c r="B185" t="s">
        <v>89</v>
      </c>
      <c r="C185" t="s">
        <v>65</v>
      </c>
      <c r="D185" t="s">
        <v>15</v>
      </c>
      <c r="E185" t="s">
        <v>18</v>
      </c>
      <c r="F185">
        <v>3</v>
      </c>
      <c r="G185">
        <v>140.54</v>
      </c>
      <c r="H185">
        <v>-1</v>
      </c>
      <c r="I185">
        <v>0</v>
      </c>
      <c r="J185">
        <v>0.6</v>
      </c>
      <c r="K185">
        <v>-12.961600000000001</v>
      </c>
      <c r="L185">
        <v>1.6153999999999999</v>
      </c>
      <c r="M185">
        <v>5.115399999999994</v>
      </c>
      <c r="N185">
        <v>-0.34620000000000001</v>
      </c>
    </row>
    <row r="186" spans="1:14" x14ac:dyDescent="0.3">
      <c r="A186">
        <v>400021529</v>
      </c>
      <c r="B186" t="s">
        <v>89</v>
      </c>
      <c r="C186" t="s">
        <v>63</v>
      </c>
      <c r="D186" t="s">
        <v>45</v>
      </c>
      <c r="E186" t="s">
        <v>17</v>
      </c>
      <c r="F186">
        <v>0</v>
      </c>
      <c r="G186">
        <v>-106.86</v>
      </c>
      <c r="H186">
        <v>0</v>
      </c>
      <c r="I186">
        <v>0</v>
      </c>
      <c r="J186">
        <v>0.4</v>
      </c>
      <c r="K186">
        <v>14.2692</v>
      </c>
      <c r="L186">
        <v>5.2308000000000003</v>
      </c>
      <c r="M186">
        <v>-0.2307999999999879</v>
      </c>
      <c r="N186">
        <v>0.46150000000000002</v>
      </c>
    </row>
    <row r="187" spans="1:14" x14ac:dyDescent="0.3">
      <c r="A187">
        <v>400021529</v>
      </c>
      <c r="B187" t="s">
        <v>89</v>
      </c>
      <c r="C187" t="s">
        <v>45</v>
      </c>
      <c r="D187" t="s">
        <v>63</v>
      </c>
      <c r="E187" t="s">
        <v>18</v>
      </c>
      <c r="F187">
        <v>1</v>
      </c>
      <c r="G187">
        <v>106.86</v>
      </c>
      <c r="H187">
        <v>0</v>
      </c>
      <c r="I187">
        <v>0</v>
      </c>
      <c r="J187">
        <v>-0.4</v>
      </c>
      <c r="K187">
        <v>-14.2692</v>
      </c>
      <c r="L187">
        <v>-5.2308000000000003</v>
      </c>
      <c r="M187">
        <v>0.2307999999999879</v>
      </c>
      <c r="N187">
        <v>-0.46150000000000002</v>
      </c>
    </row>
    <row r="188" spans="1:14" x14ac:dyDescent="0.3">
      <c r="A188">
        <v>400021534</v>
      </c>
      <c r="B188" t="s">
        <v>90</v>
      </c>
      <c r="C188" t="s">
        <v>25</v>
      </c>
      <c r="D188" t="s">
        <v>47</v>
      </c>
      <c r="E188" t="s">
        <v>17</v>
      </c>
      <c r="F188">
        <v>1</v>
      </c>
      <c r="G188">
        <v>-71.010000000000005</v>
      </c>
      <c r="H188">
        <v>1</v>
      </c>
      <c r="I188">
        <v>0.2</v>
      </c>
      <c r="J188">
        <v>0</v>
      </c>
      <c r="K188">
        <v>-5.5</v>
      </c>
      <c r="L188">
        <v>-3.577</v>
      </c>
      <c r="M188">
        <v>-2.4231000000000051</v>
      </c>
      <c r="N188">
        <v>-0.15379999999999999</v>
      </c>
    </row>
    <row r="189" spans="1:14" x14ac:dyDescent="0.3">
      <c r="A189">
        <v>400021534</v>
      </c>
      <c r="B189" t="s">
        <v>90</v>
      </c>
      <c r="C189" t="s">
        <v>47</v>
      </c>
      <c r="D189" t="s">
        <v>25</v>
      </c>
      <c r="E189" t="s">
        <v>18</v>
      </c>
      <c r="F189">
        <v>4</v>
      </c>
      <c r="G189">
        <v>71.010000000000005</v>
      </c>
      <c r="H189">
        <v>-1</v>
      </c>
      <c r="I189">
        <v>-0.2</v>
      </c>
      <c r="J189">
        <v>0</v>
      </c>
      <c r="K189">
        <v>5.5</v>
      </c>
      <c r="L189">
        <v>3.577</v>
      </c>
      <c r="M189">
        <v>2.4231000000000051</v>
      </c>
      <c r="N189">
        <v>0.15379999999999999</v>
      </c>
    </row>
    <row r="190" spans="1:14" x14ac:dyDescent="0.3">
      <c r="A190">
        <v>400021528</v>
      </c>
      <c r="B190" t="s">
        <v>90</v>
      </c>
      <c r="C190" t="s">
        <v>59</v>
      </c>
      <c r="D190" t="s">
        <v>48</v>
      </c>
      <c r="E190" t="s">
        <v>17</v>
      </c>
      <c r="F190">
        <v>3</v>
      </c>
      <c r="G190">
        <v>314.89999999999998</v>
      </c>
      <c r="H190">
        <v>0</v>
      </c>
      <c r="I190">
        <v>1</v>
      </c>
      <c r="J190">
        <v>-0.2</v>
      </c>
      <c r="K190">
        <v>18.076899999999998</v>
      </c>
      <c r="L190">
        <v>4.0383999999999993</v>
      </c>
      <c r="M190">
        <v>-1.615399999999994</v>
      </c>
      <c r="N190">
        <v>0.57689999999999997</v>
      </c>
    </row>
    <row r="191" spans="1:14" x14ac:dyDescent="0.3">
      <c r="A191">
        <v>400021528</v>
      </c>
      <c r="B191" t="s">
        <v>90</v>
      </c>
      <c r="C191" t="s">
        <v>48</v>
      </c>
      <c r="D191" t="s">
        <v>59</v>
      </c>
      <c r="E191" t="s">
        <v>18</v>
      </c>
      <c r="F191">
        <v>2</v>
      </c>
      <c r="G191">
        <v>-314.89999999999998</v>
      </c>
      <c r="H191">
        <v>0</v>
      </c>
      <c r="I191">
        <v>-1</v>
      </c>
      <c r="J191">
        <v>0.2</v>
      </c>
      <c r="K191">
        <v>-18.076899999999998</v>
      </c>
      <c r="L191">
        <v>-4.0383999999999993</v>
      </c>
      <c r="M191">
        <v>1.615399999999994</v>
      </c>
      <c r="N191">
        <v>-0.57689999999999997</v>
      </c>
    </row>
    <row r="192" spans="1:14" x14ac:dyDescent="0.3">
      <c r="A192">
        <v>400021535</v>
      </c>
      <c r="B192" t="s">
        <v>90</v>
      </c>
      <c r="C192" t="s">
        <v>28</v>
      </c>
      <c r="D192" t="s">
        <v>71</v>
      </c>
      <c r="E192" t="s">
        <v>17</v>
      </c>
      <c r="F192">
        <v>0</v>
      </c>
      <c r="G192">
        <v>-48.29</v>
      </c>
      <c r="H192">
        <v>0</v>
      </c>
      <c r="I192">
        <v>0.8</v>
      </c>
      <c r="J192">
        <v>0.4</v>
      </c>
      <c r="K192">
        <v>4.230799999999995</v>
      </c>
      <c r="L192">
        <v>0.80760000000000076</v>
      </c>
      <c r="M192">
        <v>5.2307999999999879</v>
      </c>
      <c r="N192">
        <v>-3.839999999999999E-2</v>
      </c>
    </row>
    <row r="193" spans="1:14" x14ac:dyDescent="0.3">
      <c r="A193">
        <v>400021535</v>
      </c>
      <c r="B193" t="s">
        <v>90</v>
      </c>
      <c r="C193" t="s">
        <v>71</v>
      </c>
      <c r="D193" t="s">
        <v>28</v>
      </c>
      <c r="E193" t="s">
        <v>18</v>
      </c>
      <c r="F193">
        <v>0</v>
      </c>
      <c r="G193">
        <v>48.29</v>
      </c>
      <c r="H193">
        <v>0</v>
      </c>
      <c r="I193">
        <v>-0.8</v>
      </c>
      <c r="J193">
        <v>-0.4</v>
      </c>
      <c r="K193">
        <v>-4.230799999999995</v>
      </c>
      <c r="L193">
        <v>-0.80760000000000076</v>
      </c>
      <c r="M193">
        <v>-5.2307999999999879</v>
      </c>
      <c r="N193">
        <v>3.839999999999999E-2</v>
      </c>
    </row>
    <row r="194" spans="1:14" x14ac:dyDescent="0.3">
      <c r="A194">
        <v>400021536</v>
      </c>
      <c r="B194" t="s">
        <v>91</v>
      </c>
      <c r="C194" t="s">
        <v>54</v>
      </c>
      <c r="D194" t="s">
        <v>30</v>
      </c>
      <c r="E194" t="s">
        <v>17</v>
      </c>
      <c r="F194">
        <v>2</v>
      </c>
      <c r="G194">
        <v>115.6</v>
      </c>
      <c r="H194">
        <v>0</v>
      </c>
      <c r="I194">
        <v>0.66669999999999996</v>
      </c>
      <c r="J194">
        <v>-0.33329999999999999</v>
      </c>
      <c r="K194">
        <v>4.6922999999999986</v>
      </c>
      <c r="L194">
        <v>0.42309999999999981</v>
      </c>
      <c r="M194">
        <v>2.5384999999999991</v>
      </c>
      <c r="N194">
        <v>-0.23080000000000001</v>
      </c>
    </row>
    <row r="195" spans="1:14" x14ac:dyDescent="0.3">
      <c r="A195">
        <v>400021536</v>
      </c>
      <c r="B195" t="s">
        <v>91</v>
      </c>
      <c r="C195" t="s">
        <v>30</v>
      </c>
      <c r="D195" t="s">
        <v>54</v>
      </c>
      <c r="E195" t="s">
        <v>18</v>
      </c>
      <c r="F195">
        <v>0</v>
      </c>
      <c r="G195">
        <v>-115.6</v>
      </c>
      <c r="H195">
        <v>0</v>
      </c>
      <c r="I195">
        <v>-0.66669999999999996</v>
      </c>
      <c r="J195">
        <v>0.33329999999999999</v>
      </c>
      <c r="K195">
        <v>-4.6922999999999986</v>
      </c>
      <c r="L195">
        <v>-0.42309999999999981</v>
      </c>
      <c r="M195">
        <v>-2.5384999999999991</v>
      </c>
      <c r="N195">
        <v>0.23080000000000001</v>
      </c>
    </row>
    <row r="196" spans="1:14" x14ac:dyDescent="0.3">
      <c r="A196">
        <v>400021538</v>
      </c>
      <c r="B196" t="s">
        <v>92</v>
      </c>
      <c r="C196" t="s">
        <v>45</v>
      </c>
      <c r="D196" t="s">
        <v>47</v>
      </c>
      <c r="E196" t="s">
        <v>17</v>
      </c>
      <c r="F196">
        <v>2</v>
      </c>
      <c r="G196">
        <v>132.47</v>
      </c>
      <c r="H196">
        <v>0</v>
      </c>
      <c r="I196">
        <v>-0.66669999999999996</v>
      </c>
      <c r="J196">
        <v>-0.83330000000000004</v>
      </c>
      <c r="K196">
        <v>-12.038399999999999</v>
      </c>
      <c r="L196">
        <v>-3.7307999999999999</v>
      </c>
      <c r="M196">
        <v>-4.0769000000000233</v>
      </c>
      <c r="N196">
        <v>-0.53839999999999999</v>
      </c>
    </row>
    <row r="197" spans="1:14" x14ac:dyDescent="0.3">
      <c r="A197">
        <v>400021538</v>
      </c>
      <c r="B197" t="s">
        <v>92</v>
      </c>
      <c r="C197" t="s">
        <v>47</v>
      </c>
      <c r="D197" t="s">
        <v>45</v>
      </c>
      <c r="E197" t="s">
        <v>18</v>
      </c>
      <c r="F197">
        <v>1</v>
      </c>
      <c r="G197">
        <v>-132.47</v>
      </c>
      <c r="H197">
        <v>0</v>
      </c>
      <c r="I197">
        <v>0.66669999999999996</v>
      </c>
      <c r="J197">
        <v>0.83330000000000004</v>
      </c>
      <c r="K197">
        <v>12.038399999999999</v>
      </c>
      <c r="L197">
        <v>3.7307999999999999</v>
      </c>
      <c r="M197">
        <v>4.0769000000000233</v>
      </c>
      <c r="N197">
        <v>0.53839999999999999</v>
      </c>
    </row>
    <row r="198" spans="1:14" x14ac:dyDescent="0.3">
      <c r="A198">
        <v>400021539</v>
      </c>
      <c r="B198" t="s">
        <v>93</v>
      </c>
      <c r="C198" t="s">
        <v>57</v>
      </c>
      <c r="D198" t="s">
        <v>65</v>
      </c>
      <c r="E198" t="s">
        <v>17</v>
      </c>
      <c r="F198">
        <v>1</v>
      </c>
      <c r="G198">
        <v>-270.58</v>
      </c>
      <c r="H198">
        <v>0</v>
      </c>
      <c r="I198">
        <v>0.16669999999999999</v>
      </c>
      <c r="J198">
        <v>0.66669999999999996</v>
      </c>
      <c r="K198">
        <v>-2.6538000000000039</v>
      </c>
      <c r="L198">
        <v>-1.3846000000000001</v>
      </c>
      <c r="M198">
        <v>2.5383999999999962</v>
      </c>
      <c r="N198">
        <v>0.65389999999999993</v>
      </c>
    </row>
    <row r="199" spans="1:14" x14ac:dyDescent="0.3">
      <c r="A199">
        <v>400021539</v>
      </c>
      <c r="B199" t="s">
        <v>93</v>
      </c>
      <c r="C199" t="s">
        <v>65</v>
      </c>
      <c r="D199" t="s">
        <v>57</v>
      </c>
      <c r="E199" t="s">
        <v>18</v>
      </c>
      <c r="F199">
        <v>2</v>
      </c>
      <c r="G199">
        <v>270.58</v>
      </c>
      <c r="H199">
        <v>0</v>
      </c>
      <c r="I199">
        <v>-0.16669999999999999</v>
      </c>
      <c r="J199">
        <v>-0.66669999999999996</v>
      </c>
      <c r="K199">
        <v>2.6538000000000039</v>
      </c>
      <c r="L199">
        <v>1.3846000000000001</v>
      </c>
      <c r="M199">
        <v>-2.5383999999999962</v>
      </c>
      <c r="N199">
        <v>-0.65389999999999993</v>
      </c>
    </row>
    <row r="200" spans="1:14" x14ac:dyDescent="0.3">
      <c r="A200">
        <v>400021537</v>
      </c>
      <c r="B200" t="s">
        <v>94</v>
      </c>
      <c r="C200" t="s">
        <v>59</v>
      </c>
      <c r="D200" t="s">
        <v>28</v>
      </c>
      <c r="E200" t="s">
        <v>17</v>
      </c>
      <c r="F200">
        <v>3</v>
      </c>
      <c r="G200">
        <v>227.21</v>
      </c>
      <c r="H200">
        <v>0</v>
      </c>
      <c r="I200">
        <v>0.83330000000000004</v>
      </c>
      <c r="J200">
        <v>0.33329999999999999</v>
      </c>
      <c r="K200">
        <v>5.8077000000000041</v>
      </c>
      <c r="L200">
        <v>4.1153999999999993</v>
      </c>
      <c r="M200">
        <v>-5.653899999999993</v>
      </c>
      <c r="N200">
        <v>0</v>
      </c>
    </row>
    <row r="201" spans="1:14" x14ac:dyDescent="0.3">
      <c r="A201">
        <v>400021537</v>
      </c>
      <c r="B201" t="s">
        <v>94</v>
      </c>
      <c r="C201" t="s">
        <v>28</v>
      </c>
      <c r="D201" t="s">
        <v>59</v>
      </c>
      <c r="E201" t="s">
        <v>18</v>
      </c>
      <c r="F201">
        <v>1</v>
      </c>
      <c r="G201">
        <v>-227.21</v>
      </c>
      <c r="H201">
        <v>0</v>
      </c>
      <c r="I201">
        <v>-0.83330000000000004</v>
      </c>
      <c r="J201">
        <v>-0.33329999999999999</v>
      </c>
      <c r="K201">
        <v>-5.8077000000000041</v>
      </c>
      <c r="L201">
        <v>-4.1153999999999993</v>
      </c>
      <c r="M201">
        <v>5.653899999999993</v>
      </c>
      <c r="N201">
        <v>0</v>
      </c>
    </row>
    <row r="202" spans="1:14" x14ac:dyDescent="0.3">
      <c r="A202">
        <v>400021541</v>
      </c>
      <c r="B202" t="s">
        <v>95</v>
      </c>
      <c r="C202" t="s">
        <v>54</v>
      </c>
      <c r="D202" t="s">
        <v>45</v>
      </c>
      <c r="E202" t="s">
        <v>17</v>
      </c>
      <c r="F202">
        <v>0</v>
      </c>
      <c r="G202">
        <v>-4.01</v>
      </c>
      <c r="H202">
        <v>0</v>
      </c>
      <c r="I202">
        <v>0.71430000000000005</v>
      </c>
      <c r="J202">
        <v>0.1429</v>
      </c>
      <c r="K202">
        <v>2.1154000000000011</v>
      </c>
      <c r="L202">
        <v>-0.38459999999999978</v>
      </c>
      <c r="M202">
        <v>3.1923000000000168</v>
      </c>
      <c r="N202">
        <v>0.34610000000000002</v>
      </c>
    </row>
    <row r="203" spans="1:14" x14ac:dyDescent="0.3">
      <c r="A203">
        <v>400021541</v>
      </c>
      <c r="B203" t="s">
        <v>95</v>
      </c>
      <c r="C203" t="s">
        <v>45</v>
      </c>
      <c r="D203" t="s">
        <v>54</v>
      </c>
      <c r="E203" t="s">
        <v>18</v>
      </c>
      <c r="F203">
        <v>2</v>
      </c>
      <c r="G203">
        <v>4.01</v>
      </c>
      <c r="H203">
        <v>0</v>
      </c>
      <c r="I203">
        <v>-0.71430000000000005</v>
      </c>
      <c r="J203">
        <v>-0.1429</v>
      </c>
      <c r="K203">
        <v>-2.1154000000000011</v>
      </c>
      <c r="L203">
        <v>0.38459999999999978</v>
      </c>
      <c r="M203">
        <v>-3.1923000000000168</v>
      </c>
      <c r="N203">
        <v>-0.34610000000000002</v>
      </c>
    </row>
    <row r="204" spans="1:14" x14ac:dyDescent="0.3">
      <c r="A204">
        <v>400021540</v>
      </c>
      <c r="B204" t="s">
        <v>96</v>
      </c>
      <c r="C204" t="s">
        <v>65</v>
      </c>
      <c r="D204" t="s">
        <v>59</v>
      </c>
      <c r="E204" t="s">
        <v>17</v>
      </c>
      <c r="F204">
        <v>1</v>
      </c>
      <c r="G204">
        <v>-49.25</v>
      </c>
      <c r="H204">
        <v>0</v>
      </c>
      <c r="I204">
        <v>-0.57140000000000002</v>
      </c>
      <c r="J204">
        <v>0</v>
      </c>
      <c r="K204">
        <v>-16.038499999999999</v>
      </c>
      <c r="L204">
        <v>-2.7692000000000001</v>
      </c>
      <c r="M204">
        <v>5.0384999999999991</v>
      </c>
      <c r="N204">
        <v>-0.73080000000000001</v>
      </c>
    </row>
    <row r="205" spans="1:14" x14ac:dyDescent="0.3">
      <c r="A205">
        <v>400021540</v>
      </c>
      <c r="B205" t="s">
        <v>96</v>
      </c>
      <c r="C205" t="s">
        <v>59</v>
      </c>
      <c r="D205" t="s">
        <v>65</v>
      </c>
      <c r="E205" t="s">
        <v>18</v>
      </c>
      <c r="F205">
        <v>2</v>
      </c>
      <c r="G205">
        <v>49.25</v>
      </c>
      <c r="H205">
        <v>0</v>
      </c>
      <c r="I205">
        <v>0.57140000000000002</v>
      </c>
      <c r="J205">
        <v>0</v>
      </c>
      <c r="K205">
        <v>16.038499999999999</v>
      </c>
      <c r="L205">
        <v>2.7692000000000001</v>
      </c>
      <c r="M205">
        <v>-5.0384999999999991</v>
      </c>
      <c r="N205">
        <v>0.73080000000000001</v>
      </c>
    </row>
    <row r="206" spans="1:14" x14ac:dyDescent="0.3">
      <c r="A206">
        <v>400021542</v>
      </c>
      <c r="B206" t="s">
        <v>97</v>
      </c>
      <c r="C206" t="s">
        <v>54</v>
      </c>
      <c r="D206" t="s">
        <v>65</v>
      </c>
      <c r="E206" t="s">
        <v>17</v>
      </c>
      <c r="F206">
        <v>4</v>
      </c>
      <c r="G206">
        <v>42.68</v>
      </c>
      <c r="H206">
        <v>0</v>
      </c>
      <c r="I206">
        <v>0.25</v>
      </c>
      <c r="J206">
        <v>-0.5</v>
      </c>
      <c r="K206">
        <v>-1.5384000000000031</v>
      </c>
      <c r="L206">
        <v>-1.8846000000000001</v>
      </c>
      <c r="M206">
        <v>0.30770000000001119</v>
      </c>
      <c r="N206">
        <v>0.5</v>
      </c>
    </row>
    <row r="207" spans="1:14" x14ac:dyDescent="0.3">
      <c r="A207">
        <v>400021542</v>
      </c>
      <c r="B207" t="s">
        <v>97</v>
      </c>
      <c r="C207" t="s">
        <v>65</v>
      </c>
      <c r="D207" t="s">
        <v>54</v>
      </c>
      <c r="E207" t="s">
        <v>18</v>
      </c>
      <c r="F207">
        <v>6</v>
      </c>
      <c r="G207">
        <v>-42.68</v>
      </c>
      <c r="H207">
        <v>0</v>
      </c>
      <c r="I207">
        <v>-0.25</v>
      </c>
      <c r="J207">
        <v>0.5</v>
      </c>
      <c r="K207">
        <v>1.5384000000000031</v>
      </c>
      <c r="L207">
        <v>1.8846000000000001</v>
      </c>
      <c r="M207">
        <v>-0.30770000000001119</v>
      </c>
      <c r="N207">
        <v>-0.5</v>
      </c>
    </row>
    <row r="208" spans="1:14" x14ac:dyDescent="0.3">
      <c r="A208">
        <v>400021543</v>
      </c>
      <c r="B208" t="s">
        <v>98</v>
      </c>
      <c r="C208" t="s">
        <v>45</v>
      </c>
      <c r="D208" t="s">
        <v>59</v>
      </c>
      <c r="E208" t="s">
        <v>17</v>
      </c>
      <c r="F208">
        <v>1</v>
      </c>
      <c r="G208">
        <v>-2.56</v>
      </c>
      <c r="H208">
        <v>0</v>
      </c>
      <c r="I208">
        <v>-0.75</v>
      </c>
      <c r="J208">
        <v>-0.75</v>
      </c>
      <c r="K208">
        <v>-19.692299999999999</v>
      </c>
      <c r="L208">
        <v>-4.2691999999999997</v>
      </c>
      <c r="M208">
        <v>2.153899999999993</v>
      </c>
      <c r="N208">
        <v>-0.57689999999999997</v>
      </c>
    </row>
    <row r="209" spans="1:14" x14ac:dyDescent="0.3">
      <c r="A209">
        <v>400021543</v>
      </c>
      <c r="B209" t="s">
        <v>98</v>
      </c>
      <c r="C209" t="s">
        <v>59</v>
      </c>
      <c r="D209" t="s">
        <v>45</v>
      </c>
      <c r="E209" t="s">
        <v>18</v>
      </c>
      <c r="F209">
        <v>0</v>
      </c>
      <c r="G209">
        <v>2.56</v>
      </c>
      <c r="H209">
        <v>0</v>
      </c>
      <c r="I209">
        <v>0.75</v>
      </c>
      <c r="J209">
        <v>0.75</v>
      </c>
      <c r="K209">
        <v>19.692299999999999</v>
      </c>
      <c r="L209">
        <v>4.2691999999999997</v>
      </c>
      <c r="M209">
        <v>-2.153899999999993</v>
      </c>
      <c r="N209">
        <v>0.57689999999999997</v>
      </c>
    </row>
  </sheetData>
  <autoFilter ref="A1:N209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248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4" customWidth="1"/>
    <col min="2" max="4" width="12" customWidth="1"/>
    <col min="5" max="5" width="36" customWidth="1"/>
    <col min="6" max="6" width="12" customWidth="1"/>
    <col min="7" max="7" width="33" customWidth="1"/>
    <col min="8" max="8" width="17" customWidth="1"/>
    <col min="9" max="10" width="12" customWidth="1"/>
    <col min="11" max="11" width="20" customWidth="1"/>
    <col min="12" max="12" width="36" customWidth="1"/>
  </cols>
  <sheetData>
    <row r="1" spans="1:12" ht="31.95" customHeight="1" x14ac:dyDescent="0.3">
      <c r="A1" s="1" t="s">
        <v>2</v>
      </c>
      <c r="B1" s="1" t="s">
        <v>125</v>
      </c>
      <c r="C1" s="1" t="s">
        <v>126</v>
      </c>
      <c r="D1" s="1" t="s">
        <v>127</v>
      </c>
      <c r="E1" s="1" t="s">
        <v>128</v>
      </c>
      <c r="F1" s="1" t="s">
        <v>129</v>
      </c>
      <c r="G1" s="1" t="s">
        <v>130</v>
      </c>
      <c r="H1" s="1" t="s">
        <v>131</v>
      </c>
      <c r="I1" s="1" t="s">
        <v>132</v>
      </c>
      <c r="J1" s="1" t="s">
        <v>133</v>
      </c>
      <c r="K1" s="1" t="s">
        <v>134</v>
      </c>
      <c r="L1" s="1" t="s">
        <v>135</v>
      </c>
    </row>
    <row r="2" spans="1:12" x14ac:dyDescent="0.3">
      <c r="A2" t="s">
        <v>60</v>
      </c>
      <c r="B2" t="s">
        <v>136</v>
      </c>
      <c r="C2">
        <v>1</v>
      </c>
      <c r="D2" t="s">
        <v>137</v>
      </c>
      <c r="E2" t="s">
        <v>138</v>
      </c>
      <c r="F2" t="s">
        <v>139</v>
      </c>
      <c r="G2" t="s">
        <v>140</v>
      </c>
      <c r="H2" t="s">
        <v>141</v>
      </c>
      <c r="I2">
        <v>194</v>
      </c>
      <c r="J2">
        <v>2</v>
      </c>
      <c r="K2">
        <v>0</v>
      </c>
      <c r="L2" t="s">
        <v>142</v>
      </c>
    </row>
    <row r="3" spans="1:12" x14ac:dyDescent="0.3">
      <c r="A3" t="s">
        <v>60</v>
      </c>
      <c r="B3" t="s">
        <v>136</v>
      </c>
      <c r="C3">
        <v>2</v>
      </c>
      <c r="D3" t="s">
        <v>143</v>
      </c>
      <c r="E3" t="s">
        <v>144</v>
      </c>
      <c r="F3" t="s">
        <v>145</v>
      </c>
      <c r="G3" t="s">
        <v>146</v>
      </c>
      <c r="H3" t="s">
        <v>147</v>
      </c>
      <c r="I3">
        <v>184</v>
      </c>
      <c r="J3">
        <v>123</v>
      </c>
      <c r="K3">
        <v>8</v>
      </c>
      <c r="L3" t="s">
        <v>142</v>
      </c>
    </row>
    <row r="4" spans="1:12" x14ac:dyDescent="0.3">
      <c r="A4" t="s">
        <v>60</v>
      </c>
      <c r="B4" t="s">
        <v>136</v>
      </c>
      <c r="C4">
        <v>3</v>
      </c>
      <c r="D4" t="s">
        <v>143</v>
      </c>
      <c r="E4" t="s">
        <v>148</v>
      </c>
      <c r="F4" t="s">
        <v>149</v>
      </c>
      <c r="G4" t="s">
        <v>150</v>
      </c>
      <c r="H4" t="s">
        <v>136</v>
      </c>
      <c r="I4">
        <v>185</v>
      </c>
      <c r="J4">
        <v>10</v>
      </c>
      <c r="K4">
        <v>1</v>
      </c>
      <c r="L4" t="s">
        <v>142</v>
      </c>
    </row>
    <row r="5" spans="1:12" x14ac:dyDescent="0.3">
      <c r="A5" t="s">
        <v>60</v>
      </c>
      <c r="B5" t="s">
        <v>136</v>
      </c>
      <c r="C5">
        <v>4</v>
      </c>
      <c r="D5" t="s">
        <v>143</v>
      </c>
      <c r="E5" t="s">
        <v>151</v>
      </c>
      <c r="F5" t="s">
        <v>152</v>
      </c>
      <c r="G5" t="s">
        <v>153</v>
      </c>
      <c r="H5" t="s">
        <v>154</v>
      </c>
      <c r="I5">
        <v>186</v>
      </c>
      <c r="J5">
        <v>30</v>
      </c>
      <c r="K5">
        <v>2</v>
      </c>
      <c r="L5" t="s">
        <v>142</v>
      </c>
    </row>
    <row r="6" spans="1:12" x14ac:dyDescent="0.3">
      <c r="A6" t="s">
        <v>60</v>
      </c>
      <c r="B6" t="s">
        <v>136</v>
      </c>
      <c r="C6">
        <v>5</v>
      </c>
      <c r="D6" t="s">
        <v>143</v>
      </c>
      <c r="E6" t="s">
        <v>155</v>
      </c>
      <c r="F6" t="s">
        <v>156</v>
      </c>
      <c r="G6" t="s">
        <v>157</v>
      </c>
      <c r="H6" t="s">
        <v>136</v>
      </c>
      <c r="I6">
        <v>186</v>
      </c>
      <c r="J6">
        <v>20</v>
      </c>
      <c r="K6">
        <v>1</v>
      </c>
      <c r="L6" t="s">
        <v>142</v>
      </c>
    </row>
    <row r="7" spans="1:12" x14ac:dyDescent="0.3">
      <c r="A7" t="s">
        <v>60</v>
      </c>
      <c r="B7" t="s">
        <v>136</v>
      </c>
      <c r="C7">
        <v>6</v>
      </c>
      <c r="D7" t="s">
        <v>158</v>
      </c>
      <c r="E7" t="s">
        <v>159</v>
      </c>
      <c r="F7" t="s">
        <v>160</v>
      </c>
      <c r="G7" t="s">
        <v>161</v>
      </c>
      <c r="H7" t="s">
        <v>162</v>
      </c>
      <c r="I7">
        <v>183</v>
      </c>
      <c r="J7">
        <v>56</v>
      </c>
      <c r="K7">
        <v>3</v>
      </c>
      <c r="L7" t="s">
        <v>142</v>
      </c>
    </row>
    <row r="8" spans="1:12" x14ac:dyDescent="0.3">
      <c r="A8" t="s">
        <v>60</v>
      </c>
      <c r="B8" t="s">
        <v>136</v>
      </c>
      <c r="C8">
        <v>7</v>
      </c>
      <c r="D8" t="s">
        <v>163</v>
      </c>
      <c r="E8" t="s">
        <v>164</v>
      </c>
      <c r="F8" t="s">
        <v>165</v>
      </c>
      <c r="G8" t="s">
        <v>166</v>
      </c>
      <c r="H8" t="s">
        <v>167</v>
      </c>
      <c r="I8">
        <v>179</v>
      </c>
      <c r="J8">
        <v>120</v>
      </c>
      <c r="K8">
        <v>40</v>
      </c>
      <c r="L8" t="s">
        <v>142</v>
      </c>
    </row>
    <row r="9" spans="1:12" x14ac:dyDescent="0.3">
      <c r="A9" t="s">
        <v>60</v>
      </c>
      <c r="B9" t="s">
        <v>136</v>
      </c>
      <c r="C9">
        <v>8</v>
      </c>
      <c r="D9" t="s">
        <v>158</v>
      </c>
      <c r="E9" t="s">
        <v>168</v>
      </c>
      <c r="F9" t="s">
        <v>169</v>
      </c>
      <c r="G9" t="s">
        <v>170</v>
      </c>
      <c r="H9" t="s">
        <v>167</v>
      </c>
      <c r="I9">
        <v>175</v>
      </c>
      <c r="J9">
        <v>26</v>
      </c>
      <c r="K9">
        <v>6</v>
      </c>
      <c r="L9" t="s">
        <v>142</v>
      </c>
    </row>
    <row r="10" spans="1:12" x14ac:dyDescent="0.3">
      <c r="A10" t="s">
        <v>60</v>
      </c>
      <c r="B10" t="s">
        <v>136</v>
      </c>
      <c r="C10">
        <v>9</v>
      </c>
      <c r="D10" t="s">
        <v>163</v>
      </c>
      <c r="E10" t="s">
        <v>171</v>
      </c>
      <c r="F10" t="s">
        <v>172</v>
      </c>
      <c r="G10" t="s">
        <v>173</v>
      </c>
      <c r="H10" t="s">
        <v>147</v>
      </c>
      <c r="I10">
        <v>180</v>
      </c>
      <c r="J10">
        <v>27</v>
      </c>
      <c r="K10">
        <v>11</v>
      </c>
      <c r="L10" t="s">
        <v>142</v>
      </c>
    </row>
    <row r="11" spans="1:12" x14ac:dyDescent="0.3">
      <c r="A11" t="s">
        <v>60</v>
      </c>
      <c r="B11" t="s">
        <v>136</v>
      </c>
      <c r="C11">
        <v>10</v>
      </c>
      <c r="D11" t="s">
        <v>158</v>
      </c>
      <c r="E11" t="s">
        <v>174</v>
      </c>
      <c r="F11" t="s">
        <v>175</v>
      </c>
      <c r="G11" t="s">
        <v>176</v>
      </c>
      <c r="H11" t="s">
        <v>177</v>
      </c>
      <c r="I11">
        <v>183</v>
      </c>
      <c r="J11">
        <v>35</v>
      </c>
      <c r="K11">
        <v>3</v>
      </c>
      <c r="L11" t="s">
        <v>142</v>
      </c>
    </row>
    <row r="12" spans="1:12" x14ac:dyDescent="0.3">
      <c r="A12" t="s">
        <v>60</v>
      </c>
      <c r="B12" t="s">
        <v>136</v>
      </c>
      <c r="C12">
        <v>11</v>
      </c>
      <c r="D12" t="s">
        <v>163</v>
      </c>
      <c r="E12" t="s">
        <v>178</v>
      </c>
      <c r="F12" t="s">
        <v>179</v>
      </c>
      <c r="G12" t="s">
        <v>180</v>
      </c>
      <c r="H12" t="s">
        <v>162</v>
      </c>
      <c r="I12">
        <v>176</v>
      </c>
      <c r="J12">
        <v>18</v>
      </c>
      <c r="K12">
        <v>2</v>
      </c>
      <c r="L12" t="s">
        <v>142</v>
      </c>
    </row>
    <row r="13" spans="1:12" x14ac:dyDescent="0.3">
      <c r="A13" t="s">
        <v>60</v>
      </c>
      <c r="B13" t="s">
        <v>136</v>
      </c>
      <c r="C13">
        <v>12</v>
      </c>
      <c r="D13" t="s">
        <v>163</v>
      </c>
      <c r="E13" t="s">
        <v>181</v>
      </c>
      <c r="F13" t="s">
        <v>182</v>
      </c>
      <c r="G13" t="s">
        <v>183</v>
      </c>
      <c r="H13" t="s">
        <v>184</v>
      </c>
      <c r="I13">
        <v>190</v>
      </c>
      <c r="J13">
        <v>5</v>
      </c>
      <c r="K13">
        <v>2</v>
      </c>
      <c r="L13" t="s">
        <v>142</v>
      </c>
    </row>
    <row r="14" spans="1:12" x14ac:dyDescent="0.3">
      <c r="A14" t="s">
        <v>60</v>
      </c>
      <c r="B14" t="s">
        <v>136</v>
      </c>
      <c r="C14">
        <v>13</v>
      </c>
      <c r="D14" t="s">
        <v>143</v>
      </c>
      <c r="E14" t="s">
        <v>185</v>
      </c>
      <c r="F14" t="s">
        <v>186</v>
      </c>
      <c r="G14" t="s">
        <v>187</v>
      </c>
      <c r="H14" t="s">
        <v>141</v>
      </c>
      <c r="I14">
        <v>185</v>
      </c>
      <c r="J14">
        <v>21</v>
      </c>
      <c r="K14">
        <v>3</v>
      </c>
      <c r="L14" t="s">
        <v>142</v>
      </c>
    </row>
    <row r="15" spans="1:12" x14ac:dyDescent="0.3">
      <c r="A15" t="s">
        <v>60</v>
      </c>
      <c r="B15" t="s">
        <v>136</v>
      </c>
      <c r="C15">
        <v>14</v>
      </c>
      <c r="D15" t="s">
        <v>158</v>
      </c>
      <c r="E15" t="s">
        <v>188</v>
      </c>
      <c r="F15" t="s">
        <v>189</v>
      </c>
      <c r="G15" t="s">
        <v>190</v>
      </c>
      <c r="H15" t="s">
        <v>147</v>
      </c>
      <c r="I15">
        <v>175</v>
      </c>
      <c r="J15">
        <v>37</v>
      </c>
      <c r="K15">
        <v>0</v>
      </c>
      <c r="L15" t="s">
        <v>142</v>
      </c>
    </row>
    <row r="16" spans="1:12" x14ac:dyDescent="0.3">
      <c r="A16" t="s">
        <v>60</v>
      </c>
      <c r="B16" t="s">
        <v>136</v>
      </c>
      <c r="C16">
        <v>15</v>
      </c>
      <c r="D16" t="s">
        <v>143</v>
      </c>
      <c r="E16" t="s">
        <v>191</v>
      </c>
      <c r="F16" t="s">
        <v>192</v>
      </c>
      <c r="G16" t="s">
        <v>193</v>
      </c>
      <c r="H16" t="s">
        <v>194</v>
      </c>
      <c r="I16">
        <v>180</v>
      </c>
      <c r="J16">
        <v>34</v>
      </c>
      <c r="K16">
        <v>0</v>
      </c>
      <c r="L16" t="s">
        <v>142</v>
      </c>
    </row>
    <row r="17" spans="1:12" x14ac:dyDescent="0.3">
      <c r="A17" t="s">
        <v>60</v>
      </c>
      <c r="B17" t="s">
        <v>136</v>
      </c>
      <c r="C17">
        <v>16</v>
      </c>
      <c r="D17" t="s">
        <v>137</v>
      </c>
      <c r="E17" t="s">
        <v>195</v>
      </c>
      <c r="F17" t="s">
        <v>196</v>
      </c>
      <c r="G17" t="s">
        <v>150</v>
      </c>
      <c r="H17" t="s">
        <v>136</v>
      </c>
      <c r="I17">
        <v>188</v>
      </c>
      <c r="J17">
        <v>4</v>
      </c>
      <c r="K17">
        <v>0</v>
      </c>
      <c r="L17" t="s">
        <v>142</v>
      </c>
    </row>
    <row r="18" spans="1:12" x14ac:dyDescent="0.3">
      <c r="A18" t="s">
        <v>60</v>
      </c>
      <c r="B18" t="s">
        <v>136</v>
      </c>
      <c r="C18">
        <v>17</v>
      </c>
      <c r="D18" t="s">
        <v>143</v>
      </c>
      <c r="E18" t="s">
        <v>197</v>
      </c>
      <c r="F18" t="s">
        <v>198</v>
      </c>
      <c r="G18" t="s">
        <v>199</v>
      </c>
      <c r="H18" t="s">
        <v>200</v>
      </c>
      <c r="I18">
        <v>180</v>
      </c>
      <c r="J18">
        <v>17</v>
      </c>
      <c r="K18">
        <v>2</v>
      </c>
      <c r="L18" t="s">
        <v>142</v>
      </c>
    </row>
    <row r="19" spans="1:12" x14ac:dyDescent="0.3">
      <c r="A19" t="s">
        <v>60</v>
      </c>
      <c r="B19" t="s">
        <v>136</v>
      </c>
      <c r="C19">
        <v>18</v>
      </c>
      <c r="D19" t="s">
        <v>163</v>
      </c>
      <c r="E19" t="s">
        <v>201</v>
      </c>
      <c r="F19" t="s">
        <v>202</v>
      </c>
      <c r="G19" t="s">
        <v>203</v>
      </c>
      <c r="H19" t="s">
        <v>177</v>
      </c>
      <c r="I19">
        <v>170</v>
      </c>
      <c r="J19">
        <v>48</v>
      </c>
      <c r="K19">
        <v>19</v>
      </c>
      <c r="L19" t="s">
        <v>142</v>
      </c>
    </row>
    <row r="20" spans="1:12" x14ac:dyDescent="0.3">
      <c r="A20" t="s">
        <v>60</v>
      </c>
      <c r="B20" t="s">
        <v>136</v>
      </c>
      <c r="C20">
        <v>19</v>
      </c>
      <c r="D20" t="s">
        <v>158</v>
      </c>
      <c r="E20" t="s">
        <v>204</v>
      </c>
      <c r="F20" t="s">
        <v>205</v>
      </c>
      <c r="G20" t="s">
        <v>146</v>
      </c>
      <c r="H20" t="s">
        <v>147</v>
      </c>
      <c r="I20">
        <v>189</v>
      </c>
      <c r="J20">
        <v>64</v>
      </c>
      <c r="K20">
        <v>6</v>
      </c>
      <c r="L20" t="s">
        <v>142</v>
      </c>
    </row>
    <row r="21" spans="1:12" x14ac:dyDescent="0.3">
      <c r="A21" t="s">
        <v>60</v>
      </c>
      <c r="B21" t="s">
        <v>136</v>
      </c>
      <c r="C21">
        <v>20</v>
      </c>
      <c r="D21" t="s">
        <v>163</v>
      </c>
      <c r="E21" t="s">
        <v>206</v>
      </c>
      <c r="F21" t="s">
        <v>207</v>
      </c>
      <c r="G21" t="s">
        <v>208</v>
      </c>
      <c r="H21" t="s">
        <v>209</v>
      </c>
      <c r="I21">
        <v>183</v>
      </c>
      <c r="J21">
        <v>13</v>
      </c>
      <c r="K21">
        <v>5</v>
      </c>
      <c r="L21" t="s">
        <v>142</v>
      </c>
    </row>
    <row r="22" spans="1:12" x14ac:dyDescent="0.3">
      <c r="A22" t="s">
        <v>60</v>
      </c>
      <c r="B22" t="s">
        <v>136</v>
      </c>
      <c r="C22">
        <v>21</v>
      </c>
      <c r="D22" t="s">
        <v>143</v>
      </c>
      <c r="E22" t="s">
        <v>210</v>
      </c>
      <c r="F22" t="s">
        <v>211</v>
      </c>
      <c r="G22" t="s">
        <v>212</v>
      </c>
      <c r="H22" t="s">
        <v>177</v>
      </c>
      <c r="I22">
        <v>187</v>
      </c>
      <c r="J22">
        <v>86</v>
      </c>
      <c r="K22">
        <v>9</v>
      </c>
      <c r="L22" t="s">
        <v>142</v>
      </c>
    </row>
    <row r="23" spans="1:12" x14ac:dyDescent="0.3">
      <c r="A23" t="s">
        <v>60</v>
      </c>
      <c r="B23" t="s">
        <v>136</v>
      </c>
      <c r="C23">
        <v>22</v>
      </c>
      <c r="D23" t="s">
        <v>158</v>
      </c>
      <c r="E23" t="s">
        <v>213</v>
      </c>
      <c r="F23" t="s">
        <v>214</v>
      </c>
      <c r="G23" t="s">
        <v>215</v>
      </c>
      <c r="H23" t="s">
        <v>177</v>
      </c>
      <c r="I23">
        <v>180</v>
      </c>
      <c r="J23">
        <v>21</v>
      </c>
      <c r="K23">
        <v>2</v>
      </c>
      <c r="L23" t="s">
        <v>142</v>
      </c>
    </row>
    <row r="24" spans="1:12" x14ac:dyDescent="0.3">
      <c r="A24" t="s">
        <v>60</v>
      </c>
      <c r="B24" t="s">
        <v>136</v>
      </c>
      <c r="C24">
        <v>23</v>
      </c>
      <c r="D24" t="s">
        <v>137</v>
      </c>
      <c r="E24" t="s">
        <v>216</v>
      </c>
      <c r="F24" t="s">
        <v>217</v>
      </c>
      <c r="G24" t="s">
        <v>218</v>
      </c>
      <c r="H24" t="s">
        <v>219</v>
      </c>
      <c r="I24">
        <v>183</v>
      </c>
      <c r="J24">
        <v>10</v>
      </c>
      <c r="K24">
        <v>0</v>
      </c>
      <c r="L24" t="s">
        <v>142</v>
      </c>
    </row>
    <row r="25" spans="1:12" x14ac:dyDescent="0.3">
      <c r="A25" t="s">
        <v>60</v>
      </c>
      <c r="B25" t="s">
        <v>136</v>
      </c>
      <c r="C25">
        <v>24</v>
      </c>
      <c r="D25" t="s">
        <v>158</v>
      </c>
      <c r="E25" t="s">
        <v>220</v>
      </c>
      <c r="F25" t="s">
        <v>221</v>
      </c>
      <c r="G25" t="s">
        <v>222</v>
      </c>
      <c r="H25" t="s">
        <v>223</v>
      </c>
      <c r="I25">
        <v>180</v>
      </c>
      <c r="J25">
        <v>5</v>
      </c>
      <c r="K25">
        <v>0</v>
      </c>
      <c r="L25" t="s">
        <v>142</v>
      </c>
    </row>
    <row r="26" spans="1:12" x14ac:dyDescent="0.3">
      <c r="A26" t="s">
        <v>60</v>
      </c>
      <c r="B26" t="s">
        <v>136</v>
      </c>
      <c r="C26">
        <v>25</v>
      </c>
      <c r="D26" t="s">
        <v>163</v>
      </c>
      <c r="E26" t="s">
        <v>224</v>
      </c>
      <c r="F26" t="s">
        <v>225</v>
      </c>
      <c r="G26" t="s">
        <v>226</v>
      </c>
      <c r="H26" t="s">
        <v>200</v>
      </c>
      <c r="I26">
        <v>183</v>
      </c>
      <c r="J26">
        <v>2</v>
      </c>
      <c r="K26">
        <v>1</v>
      </c>
      <c r="L26" t="s">
        <v>142</v>
      </c>
    </row>
    <row r="27" spans="1:12" x14ac:dyDescent="0.3">
      <c r="A27" t="s">
        <v>60</v>
      </c>
      <c r="B27" t="s">
        <v>136</v>
      </c>
      <c r="C27">
        <v>26</v>
      </c>
      <c r="D27" t="s">
        <v>143</v>
      </c>
      <c r="E27" t="s">
        <v>227</v>
      </c>
      <c r="F27" t="s">
        <v>228</v>
      </c>
      <c r="G27" t="s">
        <v>229</v>
      </c>
      <c r="H27" t="s">
        <v>147</v>
      </c>
      <c r="I27">
        <v>185</v>
      </c>
      <c r="J27">
        <v>6</v>
      </c>
      <c r="K27">
        <v>0</v>
      </c>
      <c r="L27" t="s">
        <v>142</v>
      </c>
    </row>
    <row r="28" spans="1:12" x14ac:dyDescent="0.3">
      <c r="A28" t="s">
        <v>59</v>
      </c>
      <c r="B28" t="s">
        <v>230</v>
      </c>
      <c r="C28">
        <v>1</v>
      </c>
      <c r="D28" t="s">
        <v>137</v>
      </c>
      <c r="E28" t="s">
        <v>231</v>
      </c>
      <c r="F28" t="s">
        <v>232</v>
      </c>
      <c r="G28" t="s">
        <v>233</v>
      </c>
      <c r="H28" t="s">
        <v>219</v>
      </c>
      <c r="I28">
        <v>193</v>
      </c>
      <c r="J28">
        <v>4</v>
      </c>
      <c r="K28">
        <v>0</v>
      </c>
      <c r="L28" t="s">
        <v>142</v>
      </c>
    </row>
    <row r="29" spans="1:12" x14ac:dyDescent="0.3">
      <c r="A29" t="s">
        <v>59</v>
      </c>
      <c r="B29" t="s">
        <v>230</v>
      </c>
      <c r="C29">
        <v>2</v>
      </c>
      <c r="D29" t="s">
        <v>143</v>
      </c>
      <c r="E29" t="s">
        <v>234</v>
      </c>
      <c r="F29" t="s">
        <v>235</v>
      </c>
      <c r="G29" t="s">
        <v>236</v>
      </c>
      <c r="H29" t="s">
        <v>194</v>
      </c>
      <c r="I29">
        <v>185</v>
      </c>
      <c r="J29">
        <v>5</v>
      </c>
      <c r="K29">
        <v>0</v>
      </c>
      <c r="L29" t="s">
        <v>142</v>
      </c>
    </row>
    <row r="30" spans="1:12" x14ac:dyDescent="0.3">
      <c r="A30" t="s">
        <v>59</v>
      </c>
      <c r="B30" t="s">
        <v>230</v>
      </c>
      <c r="C30">
        <v>3</v>
      </c>
      <c r="D30" t="s">
        <v>143</v>
      </c>
      <c r="E30" t="s">
        <v>237</v>
      </c>
      <c r="F30" t="s">
        <v>238</v>
      </c>
      <c r="G30" t="s">
        <v>239</v>
      </c>
      <c r="H30" t="s">
        <v>147</v>
      </c>
      <c r="I30">
        <v>172</v>
      </c>
      <c r="J30">
        <v>83</v>
      </c>
      <c r="K30">
        <v>1</v>
      </c>
      <c r="L30" t="s">
        <v>142</v>
      </c>
    </row>
    <row r="31" spans="1:12" x14ac:dyDescent="0.3">
      <c r="A31" t="s">
        <v>59</v>
      </c>
      <c r="B31" t="s">
        <v>230</v>
      </c>
      <c r="C31">
        <v>4</v>
      </c>
      <c r="D31" t="s">
        <v>143</v>
      </c>
      <c r="E31" t="s">
        <v>240</v>
      </c>
      <c r="F31" t="s">
        <v>241</v>
      </c>
      <c r="G31" t="s">
        <v>242</v>
      </c>
      <c r="H31" t="s">
        <v>230</v>
      </c>
      <c r="I31">
        <v>175</v>
      </c>
      <c r="J31">
        <v>45</v>
      </c>
      <c r="K31">
        <v>2</v>
      </c>
      <c r="L31" t="s">
        <v>142</v>
      </c>
    </row>
    <row r="32" spans="1:12" x14ac:dyDescent="0.3">
      <c r="A32" t="s">
        <v>59</v>
      </c>
      <c r="B32" t="s">
        <v>230</v>
      </c>
      <c r="C32">
        <v>5</v>
      </c>
      <c r="D32" t="s">
        <v>158</v>
      </c>
      <c r="E32" t="s">
        <v>243</v>
      </c>
      <c r="F32" t="s">
        <v>244</v>
      </c>
      <c r="G32" t="s">
        <v>245</v>
      </c>
      <c r="H32" t="s">
        <v>230</v>
      </c>
      <c r="I32">
        <v>182</v>
      </c>
      <c r="J32">
        <v>84</v>
      </c>
      <c r="K32">
        <v>5</v>
      </c>
      <c r="L32" t="s">
        <v>142</v>
      </c>
    </row>
    <row r="33" spans="1:12" x14ac:dyDescent="0.3">
      <c r="A33" t="s">
        <v>59</v>
      </c>
      <c r="B33" t="s">
        <v>230</v>
      </c>
      <c r="C33">
        <v>6</v>
      </c>
      <c r="D33" t="s">
        <v>143</v>
      </c>
      <c r="E33" t="s">
        <v>246</v>
      </c>
      <c r="F33" t="s">
        <v>247</v>
      </c>
      <c r="G33" t="s">
        <v>248</v>
      </c>
      <c r="H33" t="s">
        <v>194</v>
      </c>
      <c r="I33">
        <v>175</v>
      </c>
      <c r="J33">
        <v>35</v>
      </c>
      <c r="K33">
        <v>2</v>
      </c>
      <c r="L33" t="s">
        <v>142</v>
      </c>
    </row>
    <row r="34" spans="1:12" x14ac:dyDescent="0.3">
      <c r="A34" t="s">
        <v>59</v>
      </c>
      <c r="B34" t="s">
        <v>230</v>
      </c>
      <c r="C34">
        <v>7</v>
      </c>
      <c r="D34" t="s">
        <v>158</v>
      </c>
      <c r="E34" t="s">
        <v>249</v>
      </c>
      <c r="F34" t="s">
        <v>250</v>
      </c>
      <c r="G34" t="s">
        <v>251</v>
      </c>
      <c r="H34" t="s">
        <v>25</v>
      </c>
      <c r="I34">
        <v>178</v>
      </c>
      <c r="J34">
        <v>94</v>
      </c>
      <c r="K34">
        <v>2</v>
      </c>
      <c r="L34" t="s">
        <v>142</v>
      </c>
    </row>
    <row r="35" spans="1:12" x14ac:dyDescent="0.3">
      <c r="A35" t="s">
        <v>59</v>
      </c>
      <c r="B35" t="s">
        <v>230</v>
      </c>
      <c r="C35">
        <v>8</v>
      </c>
      <c r="D35" t="s">
        <v>158</v>
      </c>
      <c r="E35" t="s">
        <v>252</v>
      </c>
      <c r="F35" t="s">
        <v>253</v>
      </c>
      <c r="G35" t="s">
        <v>254</v>
      </c>
      <c r="H35" t="s">
        <v>147</v>
      </c>
      <c r="I35">
        <v>172</v>
      </c>
      <c r="J35">
        <v>5</v>
      </c>
      <c r="K35">
        <v>2</v>
      </c>
      <c r="L35" t="s">
        <v>142</v>
      </c>
    </row>
    <row r="36" spans="1:12" x14ac:dyDescent="0.3">
      <c r="A36" t="s">
        <v>59</v>
      </c>
      <c r="B36" t="s">
        <v>230</v>
      </c>
      <c r="C36">
        <v>9</v>
      </c>
      <c r="D36" t="s">
        <v>163</v>
      </c>
      <c r="E36" t="s">
        <v>255</v>
      </c>
      <c r="F36" t="s">
        <v>256</v>
      </c>
      <c r="G36" t="s">
        <v>233</v>
      </c>
      <c r="H36" t="s">
        <v>219</v>
      </c>
      <c r="I36">
        <v>170</v>
      </c>
      <c r="J36">
        <v>59</v>
      </c>
      <c r="K36">
        <v>15</v>
      </c>
      <c r="L36" t="s">
        <v>142</v>
      </c>
    </row>
    <row r="37" spans="1:12" x14ac:dyDescent="0.3">
      <c r="A37" t="s">
        <v>59</v>
      </c>
      <c r="B37" t="s">
        <v>230</v>
      </c>
      <c r="C37">
        <v>10</v>
      </c>
      <c r="D37" t="s">
        <v>163</v>
      </c>
      <c r="E37" t="s">
        <v>257</v>
      </c>
      <c r="F37" t="s">
        <v>258</v>
      </c>
      <c r="G37" t="s">
        <v>251</v>
      </c>
      <c r="H37" t="s">
        <v>25</v>
      </c>
      <c r="I37">
        <v>170</v>
      </c>
      <c r="J37">
        <v>207</v>
      </c>
      <c r="K37">
        <v>125</v>
      </c>
      <c r="L37" t="s">
        <v>142</v>
      </c>
    </row>
    <row r="38" spans="1:12" x14ac:dyDescent="0.3">
      <c r="A38" t="s">
        <v>59</v>
      </c>
      <c r="B38" t="s">
        <v>230</v>
      </c>
      <c r="C38">
        <v>11</v>
      </c>
      <c r="D38" t="s">
        <v>158</v>
      </c>
      <c r="E38" t="s">
        <v>259</v>
      </c>
      <c r="F38" t="s">
        <v>260</v>
      </c>
      <c r="G38" t="s">
        <v>261</v>
      </c>
      <c r="H38" t="s">
        <v>219</v>
      </c>
      <c r="I38">
        <v>177</v>
      </c>
      <c r="J38">
        <v>68</v>
      </c>
      <c r="K38">
        <v>5</v>
      </c>
      <c r="L38" t="s">
        <v>142</v>
      </c>
    </row>
    <row r="39" spans="1:12" x14ac:dyDescent="0.3">
      <c r="A39" t="s">
        <v>59</v>
      </c>
      <c r="B39" t="s">
        <v>230</v>
      </c>
      <c r="C39">
        <v>12</v>
      </c>
      <c r="D39" t="s">
        <v>137</v>
      </c>
      <c r="E39" t="s">
        <v>262</v>
      </c>
      <c r="F39" t="s">
        <v>263</v>
      </c>
      <c r="G39" t="s">
        <v>173</v>
      </c>
      <c r="H39" t="s">
        <v>147</v>
      </c>
      <c r="I39">
        <v>189</v>
      </c>
      <c r="J39">
        <v>8</v>
      </c>
      <c r="K39">
        <v>0</v>
      </c>
      <c r="L39" t="s">
        <v>142</v>
      </c>
    </row>
    <row r="40" spans="1:12" x14ac:dyDescent="0.3">
      <c r="A40" t="s">
        <v>59</v>
      </c>
      <c r="B40" t="s">
        <v>230</v>
      </c>
      <c r="C40">
        <v>13</v>
      </c>
      <c r="D40" t="s">
        <v>143</v>
      </c>
      <c r="E40" t="s">
        <v>264</v>
      </c>
      <c r="F40" t="s">
        <v>265</v>
      </c>
      <c r="G40" t="s">
        <v>266</v>
      </c>
      <c r="H40" t="s">
        <v>194</v>
      </c>
      <c r="I40">
        <v>185</v>
      </c>
      <c r="J40">
        <v>58</v>
      </c>
      <c r="K40">
        <v>4</v>
      </c>
      <c r="L40" t="s">
        <v>142</v>
      </c>
    </row>
    <row r="41" spans="1:12" x14ac:dyDescent="0.3">
      <c r="A41" t="s">
        <v>59</v>
      </c>
      <c r="B41" t="s">
        <v>230</v>
      </c>
      <c r="C41">
        <v>14</v>
      </c>
      <c r="D41" t="s">
        <v>158</v>
      </c>
      <c r="E41" t="s">
        <v>267</v>
      </c>
      <c r="F41" t="s">
        <v>268</v>
      </c>
      <c r="G41" t="s">
        <v>215</v>
      </c>
      <c r="H41" t="s">
        <v>177</v>
      </c>
      <c r="I41">
        <v>177</v>
      </c>
      <c r="J41">
        <v>41</v>
      </c>
      <c r="K41">
        <v>0</v>
      </c>
      <c r="L41" t="s">
        <v>142</v>
      </c>
    </row>
    <row r="42" spans="1:12" x14ac:dyDescent="0.3">
      <c r="A42" t="s">
        <v>59</v>
      </c>
      <c r="B42" t="s">
        <v>230</v>
      </c>
      <c r="C42">
        <v>15</v>
      </c>
      <c r="D42" t="s">
        <v>158</v>
      </c>
      <c r="E42" t="s">
        <v>269</v>
      </c>
      <c r="F42" t="s">
        <v>270</v>
      </c>
      <c r="G42" t="s">
        <v>233</v>
      </c>
      <c r="H42" t="s">
        <v>219</v>
      </c>
      <c r="I42">
        <v>180</v>
      </c>
      <c r="J42">
        <v>58</v>
      </c>
      <c r="K42">
        <v>6</v>
      </c>
      <c r="L42" t="s">
        <v>142</v>
      </c>
    </row>
    <row r="43" spans="1:12" x14ac:dyDescent="0.3">
      <c r="A43" t="s">
        <v>59</v>
      </c>
      <c r="B43" t="s">
        <v>230</v>
      </c>
      <c r="C43">
        <v>16</v>
      </c>
      <c r="D43" t="s">
        <v>163</v>
      </c>
      <c r="E43" t="s">
        <v>271</v>
      </c>
      <c r="F43" t="s">
        <v>272</v>
      </c>
      <c r="G43" t="s">
        <v>233</v>
      </c>
      <c r="H43" t="s">
        <v>219</v>
      </c>
      <c r="I43">
        <v>171</v>
      </c>
      <c r="J43">
        <v>21</v>
      </c>
      <c r="K43">
        <v>5</v>
      </c>
      <c r="L43" t="s">
        <v>142</v>
      </c>
    </row>
    <row r="44" spans="1:12" x14ac:dyDescent="0.3">
      <c r="A44" t="s">
        <v>59</v>
      </c>
      <c r="B44" t="s">
        <v>230</v>
      </c>
      <c r="C44">
        <v>17</v>
      </c>
      <c r="D44" t="s">
        <v>163</v>
      </c>
      <c r="E44" t="s">
        <v>273</v>
      </c>
      <c r="F44" t="s">
        <v>274</v>
      </c>
      <c r="G44" t="s">
        <v>233</v>
      </c>
      <c r="H44" t="s">
        <v>219</v>
      </c>
      <c r="I44">
        <v>174</v>
      </c>
      <c r="J44">
        <v>16</v>
      </c>
      <c r="K44">
        <v>2</v>
      </c>
      <c r="L44" t="s">
        <v>142</v>
      </c>
    </row>
    <row r="45" spans="1:12" x14ac:dyDescent="0.3">
      <c r="A45" t="s">
        <v>59</v>
      </c>
      <c r="B45" t="s">
        <v>230</v>
      </c>
      <c r="C45">
        <v>18</v>
      </c>
      <c r="D45" t="s">
        <v>163</v>
      </c>
      <c r="E45" t="s">
        <v>275</v>
      </c>
      <c r="F45" t="s">
        <v>276</v>
      </c>
      <c r="G45" t="s">
        <v>277</v>
      </c>
      <c r="H45" t="s">
        <v>200</v>
      </c>
      <c r="I45">
        <v>185</v>
      </c>
      <c r="J45">
        <v>11</v>
      </c>
      <c r="K45">
        <v>1</v>
      </c>
      <c r="L45" t="s">
        <v>142</v>
      </c>
    </row>
    <row r="46" spans="1:12" x14ac:dyDescent="0.3">
      <c r="A46" t="s">
        <v>59</v>
      </c>
      <c r="B46" t="s">
        <v>230</v>
      </c>
      <c r="C46">
        <v>19</v>
      </c>
      <c r="D46" t="s">
        <v>143</v>
      </c>
      <c r="E46" t="s">
        <v>278</v>
      </c>
      <c r="F46" t="s">
        <v>279</v>
      </c>
      <c r="G46" t="s">
        <v>280</v>
      </c>
      <c r="H46" t="s">
        <v>281</v>
      </c>
      <c r="I46">
        <v>182</v>
      </c>
      <c r="J46">
        <v>139</v>
      </c>
      <c r="K46">
        <v>8</v>
      </c>
      <c r="L46" t="s">
        <v>142</v>
      </c>
    </row>
    <row r="47" spans="1:12" x14ac:dyDescent="0.3">
      <c r="A47" t="s">
        <v>59</v>
      </c>
      <c r="B47" t="s">
        <v>230</v>
      </c>
      <c r="C47">
        <v>20</v>
      </c>
      <c r="D47" t="s">
        <v>158</v>
      </c>
      <c r="E47" t="s">
        <v>282</v>
      </c>
      <c r="F47" t="s">
        <v>283</v>
      </c>
      <c r="G47" t="s">
        <v>284</v>
      </c>
      <c r="H47" t="s">
        <v>194</v>
      </c>
      <c r="I47">
        <v>176</v>
      </c>
      <c r="J47">
        <v>54</v>
      </c>
      <c r="K47">
        <v>7</v>
      </c>
      <c r="L47" t="s">
        <v>142</v>
      </c>
    </row>
    <row r="48" spans="1:12" x14ac:dyDescent="0.3">
      <c r="A48" t="s">
        <v>59</v>
      </c>
      <c r="B48" t="s">
        <v>230</v>
      </c>
      <c r="C48">
        <v>21</v>
      </c>
      <c r="D48" t="s">
        <v>163</v>
      </c>
      <c r="E48" t="s">
        <v>285</v>
      </c>
      <c r="F48" t="s">
        <v>286</v>
      </c>
      <c r="G48" t="s">
        <v>287</v>
      </c>
      <c r="H48" t="s">
        <v>288</v>
      </c>
      <c r="I48">
        <v>190</v>
      </c>
      <c r="J48">
        <v>7</v>
      </c>
      <c r="K48">
        <v>0</v>
      </c>
      <c r="L48" t="s">
        <v>142</v>
      </c>
    </row>
    <row r="49" spans="1:12" x14ac:dyDescent="0.3">
      <c r="A49" t="s">
        <v>59</v>
      </c>
      <c r="B49" t="s">
        <v>230</v>
      </c>
      <c r="C49">
        <v>22</v>
      </c>
      <c r="D49" t="s">
        <v>163</v>
      </c>
      <c r="E49" t="s">
        <v>289</v>
      </c>
      <c r="F49" t="s">
        <v>290</v>
      </c>
      <c r="G49" t="s">
        <v>291</v>
      </c>
      <c r="H49" t="s">
        <v>200</v>
      </c>
      <c r="I49">
        <v>175</v>
      </c>
      <c r="J49">
        <v>84</v>
      </c>
      <c r="K49">
        <v>40</v>
      </c>
      <c r="L49" t="s">
        <v>142</v>
      </c>
    </row>
    <row r="50" spans="1:12" x14ac:dyDescent="0.3">
      <c r="A50" t="s">
        <v>59</v>
      </c>
      <c r="B50" t="s">
        <v>230</v>
      </c>
      <c r="C50">
        <v>23</v>
      </c>
      <c r="D50" t="s">
        <v>137</v>
      </c>
      <c r="E50" t="s">
        <v>292</v>
      </c>
      <c r="F50" t="s">
        <v>293</v>
      </c>
      <c r="G50" t="s">
        <v>294</v>
      </c>
      <c r="H50" t="s">
        <v>194</v>
      </c>
      <c r="I50">
        <v>195</v>
      </c>
      <c r="J50">
        <v>67</v>
      </c>
      <c r="K50">
        <v>0</v>
      </c>
      <c r="L50" t="s">
        <v>142</v>
      </c>
    </row>
    <row r="51" spans="1:12" x14ac:dyDescent="0.3">
      <c r="A51" t="s">
        <v>59</v>
      </c>
      <c r="B51" t="s">
        <v>230</v>
      </c>
      <c r="C51">
        <v>24</v>
      </c>
      <c r="D51" t="s">
        <v>158</v>
      </c>
      <c r="E51" t="s">
        <v>295</v>
      </c>
      <c r="F51" t="s">
        <v>296</v>
      </c>
      <c r="G51" t="s">
        <v>297</v>
      </c>
      <c r="H51" t="s">
        <v>194</v>
      </c>
      <c r="I51">
        <v>178</v>
      </c>
      <c r="J51">
        <v>49</v>
      </c>
      <c r="K51">
        <v>8</v>
      </c>
      <c r="L51" t="s">
        <v>142</v>
      </c>
    </row>
    <row r="52" spans="1:12" x14ac:dyDescent="0.3">
      <c r="A52" t="s">
        <v>59</v>
      </c>
      <c r="B52" t="s">
        <v>230</v>
      </c>
      <c r="C52">
        <v>25</v>
      </c>
      <c r="D52" t="s">
        <v>143</v>
      </c>
      <c r="E52" t="s">
        <v>298</v>
      </c>
      <c r="F52" t="s">
        <v>299</v>
      </c>
      <c r="G52" t="s">
        <v>173</v>
      </c>
      <c r="H52" t="s">
        <v>147</v>
      </c>
      <c r="I52">
        <v>184</v>
      </c>
      <c r="J52">
        <v>14</v>
      </c>
      <c r="K52">
        <v>0</v>
      </c>
      <c r="L52" t="s">
        <v>142</v>
      </c>
    </row>
    <row r="53" spans="1:12" x14ac:dyDescent="0.3">
      <c r="A53" t="s">
        <v>59</v>
      </c>
      <c r="B53" t="s">
        <v>230</v>
      </c>
      <c r="C53">
        <v>26</v>
      </c>
      <c r="D53" t="s">
        <v>143</v>
      </c>
      <c r="E53" t="s">
        <v>300</v>
      </c>
      <c r="F53" t="s">
        <v>270</v>
      </c>
      <c r="G53" t="s">
        <v>233</v>
      </c>
      <c r="H53" t="s">
        <v>219</v>
      </c>
      <c r="I53">
        <v>179</v>
      </c>
      <c r="J53">
        <v>65</v>
      </c>
      <c r="K53">
        <v>1</v>
      </c>
      <c r="L53" t="s">
        <v>142</v>
      </c>
    </row>
    <row r="54" spans="1:12" x14ac:dyDescent="0.3">
      <c r="A54" t="s">
        <v>34</v>
      </c>
      <c r="B54" t="s">
        <v>301</v>
      </c>
      <c r="C54">
        <v>1</v>
      </c>
      <c r="D54" t="s">
        <v>137</v>
      </c>
      <c r="E54" t="s">
        <v>302</v>
      </c>
      <c r="F54" t="s">
        <v>303</v>
      </c>
      <c r="G54" t="s">
        <v>304</v>
      </c>
      <c r="H54" t="s">
        <v>219</v>
      </c>
      <c r="I54">
        <v>184</v>
      </c>
      <c r="J54">
        <v>105</v>
      </c>
      <c r="K54">
        <v>0</v>
      </c>
      <c r="L54" t="s">
        <v>142</v>
      </c>
    </row>
    <row r="55" spans="1:12" x14ac:dyDescent="0.3">
      <c r="A55" t="s">
        <v>34</v>
      </c>
      <c r="B55" t="s">
        <v>301</v>
      </c>
      <c r="C55">
        <v>2</v>
      </c>
      <c r="D55" t="s">
        <v>143</v>
      </c>
      <c r="E55" t="s">
        <v>305</v>
      </c>
      <c r="F55" t="s">
        <v>306</v>
      </c>
      <c r="G55" t="s">
        <v>307</v>
      </c>
      <c r="H55" t="s">
        <v>308</v>
      </c>
      <c r="I55">
        <v>187</v>
      </c>
      <c r="J55">
        <v>57</v>
      </c>
      <c r="K55">
        <v>1</v>
      </c>
      <c r="L55" t="s">
        <v>142</v>
      </c>
    </row>
    <row r="56" spans="1:12" x14ac:dyDescent="0.3">
      <c r="A56" t="s">
        <v>34</v>
      </c>
      <c r="B56" t="s">
        <v>301</v>
      </c>
      <c r="C56">
        <v>3</v>
      </c>
      <c r="D56" t="s">
        <v>143</v>
      </c>
      <c r="E56" t="s">
        <v>309</v>
      </c>
      <c r="F56" t="s">
        <v>310</v>
      </c>
      <c r="G56" t="s">
        <v>311</v>
      </c>
      <c r="H56" t="s">
        <v>200</v>
      </c>
      <c r="I56">
        <v>191</v>
      </c>
      <c r="J56">
        <v>17</v>
      </c>
      <c r="K56">
        <v>1</v>
      </c>
      <c r="L56" t="s">
        <v>142</v>
      </c>
    </row>
    <row r="57" spans="1:12" x14ac:dyDescent="0.3">
      <c r="A57" t="s">
        <v>34</v>
      </c>
      <c r="B57" t="s">
        <v>301</v>
      </c>
      <c r="C57">
        <v>4</v>
      </c>
      <c r="D57" t="s">
        <v>143</v>
      </c>
      <c r="E57" t="s">
        <v>312</v>
      </c>
      <c r="F57" t="s">
        <v>313</v>
      </c>
      <c r="G57" t="s">
        <v>314</v>
      </c>
      <c r="H57" t="s">
        <v>315</v>
      </c>
      <c r="I57">
        <v>177</v>
      </c>
      <c r="J57">
        <v>7</v>
      </c>
      <c r="K57">
        <v>0</v>
      </c>
      <c r="L57" t="s">
        <v>142</v>
      </c>
    </row>
    <row r="58" spans="1:12" x14ac:dyDescent="0.3">
      <c r="A58" t="s">
        <v>34</v>
      </c>
      <c r="B58" t="s">
        <v>301</v>
      </c>
      <c r="C58">
        <v>5</v>
      </c>
      <c r="D58" t="s">
        <v>143</v>
      </c>
      <c r="E58" t="s">
        <v>316</v>
      </c>
      <c r="F58" t="s">
        <v>317</v>
      </c>
      <c r="G58" t="s">
        <v>180</v>
      </c>
      <c r="H58" t="s">
        <v>162</v>
      </c>
      <c r="I58">
        <v>180</v>
      </c>
      <c r="J58">
        <v>31</v>
      </c>
      <c r="K58">
        <v>4</v>
      </c>
      <c r="L58" t="s">
        <v>142</v>
      </c>
    </row>
    <row r="59" spans="1:12" x14ac:dyDescent="0.3">
      <c r="A59" t="s">
        <v>34</v>
      </c>
      <c r="B59" t="s">
        <v>301</v>
      </c>
      <c r="C59">
        <v>6</v>
      </c>
      <c r="D59" t="s">
        <v>143</v>
      </c>
      <c r="E59" t="s">
        <v>318</v>
      </c>
      <c r="F59" t="s">
        <v>319</v>
      </c>
      <c r="G59" t="s">
        <v>320</v>
      </c>
      <c r="H59" t="s">
        <v>321</v>
      </c>
      <c r="I59">
        <v>181</v>
      </c>
      <c r="J59">
        <v>16</v>
      </c>
      <c r="K59">
        <v>0</v>
      </c>
      <c r="L59" t="s">
        <v>142</v>
      </c>
    </row>
    <row r="60" spans="1:12" x14ac:dyDescent="0.3">
      <c r="A60" t="s">
        <v>34</v>
      </c>
      <c r="B60" t="s">
        <v>301</v>
      </c>
      <c r="C60">
        <v>7</v>
      </c>
      <c r="D60" t="s">
        <v>163</v>
      </c>
      <c r="E60" t="s">
        <v>322</v>
      </c>
      <c r="F60" t="s">
        <v>323</v>
      </c>
      <c r="G60" t="s">
        <v>324</v>
      </c>
      <c r="H60" t="s">
        <v>301</v>
      </c>
      <c r="I60">
        <v>181</v>
      </c>
      <c r="J60">
        <v>82</v>
      </c>
      <c r="K60">
        <v>14</v>
      </c>
      <c r="L60" t="s">
        <v>142</v>
      </c>
    </row>
    <row r="61" spans="1:12" x14ac:dyDescent="0.3">
      <c r="A61" t="s">
        <v>34</v>
      </c>
      <c r="B61" t="s">
        <v>301</v>
      </c>
      <c r="C61">
        <v>8</v>
      </c>
      <c r="D61" t="s">
        <v>158</v>
      </c>
      <c r="E61" t="s">
        <v>325</v>
      </c>
      <c r="F61" t="s">
        <v>326</v>
      </c>
      <c r="G61" t="s">
        <v>327</v>
      </c>
      <c r="H61" t="s">
        <v>177</v>
      </c>
      <c r="I61">
        <v>183</v>
      </c>
      <c r="J61">
        <v>40</v>
      </c>
      <c r="K61">
        <v>2</v>
      </c>
      <c r="L61" t="s">
        <v>142</v>
      </c>
    </row>
    <row r="62" spans="1:12" x14ac:dyDescent="0.3">
      <c r="A62" t="s">
        <v>34</v>
      </c>
      <c r="B62" t="s">
        <v>301</v>
      </c>
      <c r="C62">
        <v>9</v>
      </c>
      <c r="D62" t="s">
        <v>163</v>
      </c>
      <c r="E62" t="s">
        <v>328</v>
      </c>
      <c r="F62" t="s">
        <v>329</v>
      </c>
      <c r="G62" t="s">
        <v>330</v>
      </c>
      <c r="H62" t="s">
        <v>194</v>
      </c>
      <c r="I62">
        <v>186</v>
      </c>
      <c r="J62">
        <v>13</v>
      </c>
      <c r="K62">
        <v>2</v>
      </c>
      <c r="L62" t="s">
        <v>142</v>
      </c>
    </row>
    <row r="63" spans="1:12" x14ac:dyDescent="0.3">
      <c r="A63" t="s">
        <v>34</v>
      </c>
      <c r="B63" t="s">
        <v>301</v>
      </c>
      <c r="C63">
        <v>10</v>
      </c>
      <c r="D63" t="s">
        <v>163</v>
      </c>
      <c r="E63" t="s">
        <v>331</v>
      </c>
      <c r="F63" t="s">
        <v>332</v>
      </c>
      <c r="G63" t="s">
        <v>333</v>
      </c>
      <c r="H63" t="s">
        <v>162</v>
      </c>
      <c r="I63">
        <v>180</v>
      </c>
      <c r="J63">
        <v>39</v>
      </c>
      <c r="K63">
        <v>3</v>
      </c>
      <c r="L63" t="s">
        <v>142</v>
      </c>
    </row>
    <row r="64" spans="1:12" x14ac:dyDescent="0.3">
      <c r="A64" t="s">
        <v>34</v>
      </c>
      <c r="B64" t="s">
        <v>301</v>
      </c>
      <c r="C64">
        <v>11</v>
      </c>
      <c r="D64" t="s">
        <v>163</v>
      </c>
      <c r="E64" t="s">
        <v>334</v>
      </c>
      <c r="F64" t="s">
        <v>335</v>
      </c>
      <c r="G64" t="s">
        <v>336</v>
      </c>
      <c r="H64" t="s">
        <v>219</v>
      </c>
      <c r="I64">
        <v>178</v>
      </c>
      <c r="J64">
        <v>39</v>
      </c>
      <c r="K64">
        <v>10</v>
      </c>
      <c r="L64" t="s">
        <v>142</v>
      </c>
    </row>
    <row r="65" spans="1:12" x14ac:dyDescent="0.3">
      <c r="A65" t="s">
        <v>34</v>
      </c>
      <c r="B65" t="s">
        <v>301</v>
      </c>
      <c r="C65">
        <v>12</v>
      </c>
      <c r="D65" t="s">
        <v>137</v>
      </c>
      <c r="E65" t="s">
        <v>337</v>
      </c>
      <c r="F65" t="s">
        <v>338</v>
      </c>
      <c r="G65" t="s">
        <v>339</v>
      </c>
      <c r="H65" t="s">
        <v>340</v>
      </c>
      <c r="I65">
        <v>184</v>
      </c>
      <c r="J65">
        <v>4</v>
      </c>
      <c r="K65">
        <v>0</v>
      </c>
      <c r="L65" t="s">
        <v>142</v>
      </c>
    </row>
    <row r="66" spans="1:12" x14ac:dyDescent="0.3">
      <c r="A66" t="s">
        <v>34</v>
      </c>
      <c r="B66" t="s">
        <v>301</v>
      </c>
      <c r="C66">
        <v>13</v>
      </c>
      <c r="D66" t="s">
        <v>158</v>
      </c>
      <c r="E66" t="s">
        <v>341</v>
      </c>
      <c r="F66" t="s">
        <v>342</v>
      </c>
      <c r="G66" t="s">
        <v>343</v>
      </c>
      <c r="H66" t="s">
        <v>25</v>
      </c>
      <c r="I66">
        <v>180</v>
      </c>
      <c r="J66">
        <v>35</v>
      </c>
      <c r="K66">
        <v>0</v>
      </c>
      <c r="L66" t="s">
        <v>142</v>
      </c>
    </row>
    <row r="67" spans="1:12" x14ac:dyDescent="0.3">
      <c r="A67" t="s">
        <v>34</v>
      </c>
      <c r="B67" t="s">
        <v>301</v>
      </c>
      <c r="C67">
        <v>14</v>
      </c>
      <c r="D67" t="s">
        <v>158</v>
      </c>
      <c r="E67" t="s">
        <v>344</v>
      </c>
      <c r="F67" t="s">
        <v>345</v>
      </c>
      <c r="G67" t="s">
        <v>346</v>
      </c>
      <c r="H67" t="s">
        <v>347</v>
      </c>
      <c r="I67">
        <v>170</v>
      </c>
      <c r="J67">
        <v>5</v>
      </c>
      <c r="K67">
        <v>0</v>
      </c>
      <c r="L67" t="s">
        <v>142</v>
      </c>
    </row>
    <row r="68" spans="1:12" x14ac:dyDescent="0.3">
      <c r="A68" t="s">
        <v>34</v>
      </c>
      <c r="B68" t="s">
        <v>301</v>
      </c>
      <c r="C68">
        <v>15</v>
      </c>
      <c r="D68" t="s">
        <v>143</v>
      </c>
      <c r="E68" t="s">
        <v>348</v>
      </c>
      <c r="F68" t="s">
        <v>349</v>
      </c>
      <c r="G68" t="s">
        <v>343</v>
      </c>
      <c r="H68" t="s">
        <v>25</v>
      </c>
      <c r="I68">
        <v>183</v>
      </c>
      <c r="J68">
        <v>7</v>
      </c>
      <c r="K68">
        <v>0</v>
      </c>
      <c r="L68" t="s">
        <v>142</v>
      </c>
    </row>
    <row r="69" spans="1:12" x14ac:dyDescent="0.3">
      <c r="A69" t="s">
        <v>34</v>
      </c>
      <c r="B69" t="s">
        <v>301</v>
      </c>
      <c r="C69">
        <v>16</v>
      </c>
      <c r="D69" t="s">
        <v>143</v>
      </c>
      <c r="E69" t="s">
        <v>350</v>
      </c>
      <c r="F69" t="s">
        <v>351</v>
      </c>
      <c r="G69" t="s">
        <v>324</v>
      </c>
      <c r="H69" t="s">
        <v>301</v>
      </c>
      <c r="I69">
        <v>170</v>
      </c>
      <c r="J69">
        <v>87</v>
      </c>
      <c r="K69">
        <v>3</v>
      </c>
      <c r="L69" t="s">
        <v>142</v>
      </c>
    </row>
    <row r="70" spans="1:12" x14ac:dyDescent="0.3">
      <c r="A70" t="s">
        <v>34</v>
      </c>
      <c r="B70" t="s">
        <v>301</v>
      </c>
      <c r="C70">
        <v>17</v>
      </c>
      <c r="D70" t="s">
        <v>163</v>
      </c>
      <c r="E70" t="s">
        <v>352</v>
      </c>
      <c r="F70" t="s">
        <v>353</v>
      </c>
      <c r="G70" t="s">
        <v>354</v>
      </c>
      <c r="H70" t="s">
        <v>194</v>
      </c>
      <c r="I70">
        <v>165</v>
      </c>
      <c r="J70">
        <v>19</v>
      </c>
      <c r="K70">
        <v>6</v>
      </c>
      <c r="L70" t="s">
        <v>142</v>
      </c>
    </row>
    <row r="71" spans="1:12" x14ac:dyDescent="0.3">
      <c r="A71" t="s">
        <v>34</v>
      </c>
      <c r="B71" t="s">
        <v>301</v>
      </c>
      <c r="C71">
        <v>18</v>
      </c>
      <c r="D71" t="s">
        <v>137</v>
      </c>
      <c r="E71" t="s">
        <v>355</v>
      </c>
      <c r="F71" t="s">
        <v>356</v>
      </c>
      <c r="G71" t="s">
        <v>324</v>
      </c>
      <c r="H71" t="s">
        <v>301</v>
      </c>
      <c r="I71">
        <v>189</v>
      </c>
      <c r="J71">
        <v>6</v>
      </c>
      <c r="K71">
        <v>0</v>
      </c>
      <c r="L71" t="s">
        <v>142</v>
      </c>
    </row>
    <row r="72" spans="1:12" x14ac:dyDescent="0.3">
      <c r="A72" t="s">
        <v>34</v>
      </c>
      <c r="B72" t="s">
        <v>301</v>
      </c>
      <c r="C72">
        <v>19</v>
      </c>
      <c r="D72" t="s">
        <v>143</v>
      </c>
      <c r="E72" t="s">
        <v>357</v>
      </c>
      <c r="F72" t="s">
        <v>358</v>
      </c>
      <c r="G72" t="s">
        <v>359</v>
      </c>
      <c r="H72" t="s">
        <v>194</v>
      </c>
      <c r="I72">
        <v>198</v>
      </c>
      <c r="J72">
        <v>42</v>
      </c>
      <c r="K72">
        <v>11</v>
      </c>
      <c r="L72" t="s">
        <v>142</v>
      </c>
    </row>
    <row r="73" spans="1:12" x14ac:dyDescent="0.3">
      <c r="A73" t="s">
        <v>34</v>
      </c>
      <c r="B73" t="s">
        <v>301</v>
      </c>
      <c r="C73">
        <v>20</v>
      </c>
      <c r="D73" t="s">
        <v>163</v>
      </c>
      <c r="E73" t="s">
        <v>360</v>
      </c>
      <c r="F73" t="s">
        <v>361</v>
      </c>
      <c r="G73" t="s">
        <v>362</v>
      </c>
      <c r="H73" t="s">
        <v>200</v>
      </c>
      <c r="I73">
        <v>187</v>
      </c>
      <c r="J73">
        <v>4</v>
      </c>
      <c r="K73">
        <v>0</v>
      </c>
      <c r="L73" t="s">
        <v>142</v>
      </c>
    </row>
    <row r="74" spans="1:12" x14ac:dyDescent="0.3">
      <c r="A74" t="s">
        <v>34</v>
      </c>
      <c r="B74" t="s">
        <v>301</v>
      </c>
      <c r="C74">
        <v>21</v>
      </c>
      <c r="D74" t="s">
        <v>143</v>
      </c>
      <c r="E74" t="s">
        <v>363</v>
      </c>
      <c r="F74" t="s">
        <v>364</v>
      </c>
      <c r="G74" t="s">
        <v>365</v>
      </c>
      <c r="H74" t="s">
        <v>366</v>
      </c>
      <c r="I74">
        <v>194</v>
      </c>
      <c r="J74">
        <v>29</v>
      </c>
      <c r="K74">
        <v>0</v>
      </c>
      <c r="L74" t="s">
        <v>142</v>
      </c>
    </row>
    <row r="75" spans="1:12" x14ac:dyDescent="0.3">
      <c r="A75" t="s">
        <v>34</v>
      </c>
      <c r="B75" t="s">
        <v>301</v>
      </c>
      <c r="C75">
        <v>22</v>
      </c>
      <c r="D75" t="s">
        <v>158</v>
      </c>
      <c r="E75" t="s">
        <v>367</v>
      </c>
      <c r="F75" t="s">
        <v>368</v>
      </c>
      <c r="G75" t="s">
        <v>327</v>
      </c>
      <c r="H75" t="s">
        <v>177</v>
      </c>
      <c r="I75">
        <v>189</v>
      </c>
      <c r="J75">
        <v>86</v>
      </c>
      <c r="K75">
        <v>14</v>
      </c>
      <c r="L75" t="s">
        <v>142</v>
      </c>
    </row>
    <row r="76" spans="1:12" x14ac:dyDescent="0.3">
      <c r="A76" t="s">
        <v>34</v>
      </c>
      <c r="B76" t="s">
        <v>301</v>
      </c>
      <c r="C76">
        <v>23</v>
      </c>
      <c r="D76" t="s">
        <v>163</v>
      </c>
      <c r="E76" t="s">
        <v>369</v>
      </c>
      <c r="F76" t="s">
        <v>370</v>
      </c>
      <c r="G76" t="s">
        <v>371</v>
      </c>
      <c r="H76" t="s">
        <v>301</v>
      </c>
      <c r="I76">
        <v>181</v>
      </c>
      <c r="J76">
        <v>9</v>
      </c>
      <c r="K76">
        <v>3</v>
      </c>
      <c r="L76" t="s">
        <v>142</v>
      </c>
    </row>
    <row r="77" spans="1:12" x14ac:dyDescent="0.3">
      <c r="A77" t="s">
        <v>34</v>
      </c>
      <c r="B77" t="s">
        <v>301</v>
      </c>
      <c r="C77">
        <v>24</v>
      </c>
      <c r="D77" t="s">
        <v>158</v>
      </c>
      <c r="E77" t="s">
        <v>372</v>
      </c>
      <c r="F77" t="s">
        <v>373</v>
      </c>
      <c r="G77" t="s">
        <v>374</v>
      </c>
      <c r="H77" t="s">
        <v>301</v>
      </c>
      <c r="I77">
        <v>185</v>
      </c>
      <c r="J77">
        <v>10</v>
      </c>
      <c r="K77">
        <v>0</v>
      </c>
      <c r="L77" t="s">
        <v>142</v>
      </c>
    </row>
    <row r="78" spans="1:12" x14ac:dyDescent="0.3">
      <c r="A78" t="s">
        <v>34</v>
      </c>
      <c r="B78" t="s">
        <v>301</v>
      </c>
      <c r="C78">
        <v>25</v>
      </c>
      <c r="D78" t="s">
        <v>143</v>
      </c>
      <c r="E78" t="s">
        <v>375</v>
      </c>
      <c r="F78" t="s">
        <v>376</v>
      </c>
      <c r="G78" t="s">
        <v>377</v>
      </c>
      <c r="H78" t="s">
        <v>25</v>
      </c>
      <c r="I78">
        <v>193</v>
      </c>
      <c r="J78">
        <v>6</v>
      </c>
      <c r="K78">
        <v>0</v>
      </c>
      <c r="L78" t="s">
        <v>142</v>
      </c>
    </row>
    <row r="79" spans="1:12" x14ac:dyDescent="0.3">
      <c r="A79" t="s">
        <v>34</v>
      </c>
      <c r="B79" t="s">
        <v>301</v>
      </c>
      <c r="C79">
        <v>26</v>
      </c>
      <c r="D79" t="s">
        <v>163</v>
      </c>
      <c r="E79" t="s">
        <v>378</v>
      </c>
      <c r="F79" t="s">
        <v>379</v>
      </c>
      <c r="G79" t="s">
        <v>380</v>
      </c>
      <c r="H79" t="s">
        <v>321</v>
      </c>
      <c r="I79">
        <v>197</v>
      </c>
      <c r="J79">
        <v>3</v>
      </c>
      <c r="K79">
        <v>1</v>
      </c>
      <c r="L79" t="s">
        <v>142</v>
      </c>
    </row>
    <row r="80" spans="1:12" x14ac:dyDescent="0.3">
      <c r="A80" t="s">
        <v>61</v>
      </c>
      <c r="B80" t="s">
        <v>315</v>
      </c>
      <c r="C80">
        <v>1</v>
      </c>
      <c r="D80" t="s">
        <v>137</v>
      </c>
      <c r="E80" t="s">
        <v>381</v>
      </c>
      <c r="F80" t="s">
        <v>382</v>
      </c>
      <c r="G80" t="s">
        <v>383</v>
      </c>
      <c r="H80" t="s">
        <v>315</v>
      </c>
      <c r="I80">
        <v>188</v>
      </c>
      <c r="J80">
        <v>30</v>
      </c>
      <c r="K80">
        <v>0</v>
      </c>
      <c r="L80" t="s">
        <v>142</v>
      </c>
    </row>
    <row r="81" spans="1:12" x14ac:dyDescent="0.3">
      <c r="A81" t="s">
        <v>61</v>
      </c>
      <c r="B81" t="s">
        <v>315</v>
      </c>
      <c r="C81">
        <v>2</v>
      </c>
      <c r="D81" t="s">
        <v>143</v>
      </c>
      <c r="E81" t="s">
        <v>384</v>
      </c>
      <c r="F81" t="s">
        <v>385</v>
      </c>
      <c r="G81" t="s">
        <v>386</v>
      </c>
      <c r="H81" t="s">
        <v>219</v>
      </c>
      <c r="I81">
        <v>185</v>
      </c>
      <c r="J81">
        <v>1</v>
      </c>
      <c r="K81">
        <v>0</v>
      </c>
      <c r="L81" t="s">
        <v>142</v>
      </c>
    </row>
    <row r="82" spans="1:12" x14ac:dyDescent="0.3">
      <c r="A82" t="s">
        <v>61</v>
      </c>
      <c r="B82" t="s">
        <v>315</v>
      </c>
      <c r="C82">
        <v>3</v>
      </c>
      <c r="D82" t="s">
        <v>143</v>
      </c>
      <c r="E82" t="s">
        <v>387</v>
      </c>
      <c r="F82" t="s">
        <v>388</v>
      </c>
      <c r="G82" t="s">
        <v>266</v>
      </c>
      <c r="H82" t="s">
        <v>194</v>
      </c>
      <c r="I82">
        <v>190</v>
      </c>
      <c r="J82">
        <v>36</v>
      </c>
      <c r="K82">
        <v>0</v>
      </c>
      <c r="L82" t="s">
        <v>142</v>
      </c>
    </row>
    <row r="83" spans="1:12" x14ac:dyDescent="0.3">
      <c r="A83" t="s">
        <v>61</v>
      </c>
      <c r="B83" t="s">
        <v>315</v>
      </c>
      <c r="C83">
        <v>4</v>
      </c>
      <c r="D83" t="s">
        <v>158</v>
      </c>
      <c r="E83" t="s">
        <v>389</v>
      </c>
      <c r="F83" t="s">
        <v>390</v>
      </c>
      <c r="G83" t="s">
        <v>391</v>
      </c>
      <c r="H83" t="s">
        <v>177</v>
      </c>
      <c r="I83">
        <v>174</v>
      </c>
      <c r="J83">
        <v>55</v>
      </c>
      <c r="K83">
        <v>4</v>
      </c>
      <c r="L83" t="s">
        <v>142</v>
      </c>
    </row>
    <row r="84" spans="1:12" x14ac:dyDescent="0.3">
      <c r="A84" t="s">
        <v>61</v>
      </c>
      <c r="B84" t="s">
        <v>315</v>
      </c>
      <c r="C84">
        <v>5</v>
      </c>
      <c r="D84" t="s">
        <v>143</v>
      </c>
      <c r="E84" t="s">
        <v>392</v>
      </c>
      <c r="F84" t="s">
        <v>393</v>
      </c>
      <c r="G84" t="s">
        <v>394</v>
      </c>
      <c r="H84" t="s">
        <v>177</v>
      </c>
      <c r="I84">
        <v>188</v>
      </c>
      <c r="J84">
        <v>56</v>
      </c>
      <c r="K84">
        <v>5</v>
      </c>
      <c r="L84" t="s">
        <v>142</v>
      </c>
    </row>
    <row r="85" spans="1:12" x14ac:dyDescent="0.3">
      <c r="A85" t="s">
        <v>61</v>
      </c>
      <c r="B85" t="s">
        <v>315</v>
      </c>
      <c r="C85">
        <v>6</v>
      </c>
      <c r="D85" t="s">
        <v>158</v>
      </c>
      <c r="E85" t="s">
        <v>395</v>
      </c>
      <c r="F85" t="s">
        <v>396</v>
      </c>
      <c r="G85" t="s">
        <v>391</v>
      </c>
      <c r="H85" t="s">
        <v>177</v>
      </c>
      <c r="I85">
        <v>179</v>
      </c>
      <c r="J85">
        <v>51</v>
      </c>
      <c r="K85">
        <v>1</v>
      </c>
      <c r="L85" t="s">
        <v>142</v>
      </c>
    </row>
    <row r="86" spans="1:12" x14ac:dyDescent="0.3">
      <c r="A86" t="s">
        <v>61</v>
      </c>
      <c r="B86" t="s">
        <v>315</v>
      </c>
      <c r="C86">
        <v>7</v>
      </c>
      <c r="D86" t="s">
        <v>163</v>
      </c>
      <c r="E86" t="s">
        <v>397</v>
      </c>
      <c r="F86" t="s">
        <v>398</v>
      </c>
      <c r="G86" t="s">
        <v>399</v>
      </c>
      <c r="H86" t="s">
        <v>400</v>
      </c>
      <c r="I86">
        <v>192</v>
      </c>
      <c r="J86">
        <v>137</v>
      </c>
      <c r="K86">
        <v>49</v>
      </c>
      <c r="L86" t="s">
        <v>142</v>
      </c>
    </row>
    <row r="87" spans="1:12" x14ac:dyDescent="0.3">
      <c r="A87" t="s">
        <v>61</v>
      </c>
      <c r="B87" t="s">
        <v>315</v>
      </c>
      <c r="C87">
        <v>8</v>
      </c>
      <c r="D87" t="s">
        <v>143</v>
      </c>
      <c r="E87" t="s">
        <v>401</v>
      </c>
      <c r="F87" t="s">
        <v>402</v>
      </c>
      <c r="G87" t="s">
        <v>403</v>
      </c>
      <c r="H87" t="s">
        <v>219</v>
      </c>
      <c r="I87">
        <v>180</v>
      </c>
      <c r="J87">
        <v>117</v>
      </c>
      <c r="K87">
        <v>15</v>
      </c>
      <c r="L87" t="s">
        <v>142</v>
      </c>
    </row>
    <row r="88" spans="1:12" x14ac:dyDescent="0.3">
      <c r="A88" t="s">
        <v>61</v>
      </c>
      <c r="B88" t="s">
        <v>315</v>
      </c>
      <c r="C88">
        <v>9</v>
      </c>
      <c r="D88" t="s">
        <v>158</v>
      </c>
      <c r="E88" t="s">
        <v>404</v>
      </c>
      <c r="F88" t="s">
        <v>405</v>
      </c>
      <c r="G88" t="s">
        <v>212</v>
      </c>
      <c r="H88" t="s">
        <v>177</v>
      </c>
      <c r="I88">
        <v>178</v>
      </c>
      <c r="J88">
        <v>102</v>
      </c>
      <c r="K88">
        <v>27</v>
      </c>
      <c r="L88" t="s">
        <v>142</v>
      </c>
    </row>
    <row r="89" spans="1:12" x14ac:dyDescent="0.3">
      <c r="A89" t="s">
        <v>61</v>
      </c>
      <c r="B89" t="s">
        <v>315</v>
      </c>
      <c r="C89">
        <v>10</v>
      </c>
      <c r="D89" t="s">
        <v>158</v>
      </c>
      <c r="E89" t="s">
        <v>406</v>
      </c>
      <c r="F89" t="s">
        <v>407</v>
      </c>
      <c r="G89" t="s">
        <v>408</v>
      </c>
      <c r="H89" t="s">
        <v>281</v>
      </c>
      <c r="I89">
        <v>186</v>
      </c>
      <c r="J89">
        <v>61</v>
      </c>
      <c r="K89">
        <v>1</v>
      </c>
      <c r="L89" t="s">
        <v>142</v>
      </c>
    </row>
    <row r="90" spans="1:12" x14ac:dyDescent="0.3">
      <c r="A90" t="s">
        <v>61</v>
      </c>
      <c r="B90" t="s">
        <v>315</v>
      </c>
      <c r="C90">
        <v>11</v>
      </c>
      <c r="D90" t="s">
        <v>163</v>
      </c>
      <c r="E90" t="s">
        <v>409</v>
      </c>
      <c r="F90" t="s">
        <v>410</v>
      </c>
      <c r="G90" t="s">
        <v>411</v>
      </c>
      <c r="H90" t="s">
        <v>177</v>
      </c>
      <c r="I90">
        <v>193</v>
      </c>
      <c r="J90">
        <v>78</v>
      </c>
      <c r="K90">
        <v>24</v>
      </c>
      <c r="L90" t="s">
        <v>142</v>
      </c>
    </row>
    <row r="91" spans="1:12" x14ac:dyDescent="0.3">
      <c r="A91" t="s">
        <v>61</v>
      </c>
      <c r="B91" t="s">
        <v>315</v>
      </c>
      <c r="C91">
        <v>12</v>
      </c>
      <c r="D91" t="s">
        <v>137</v>
      </c>
      <c r="E91" t="s">
        <v>412</v>
      </c>
      <c r="F91" t="s">
        <v>413</v>
      </c>
      <c r="G91" t="s">
        <v>414</v>
      </c>
      <c r="H91" t="s">
        <v>415</v>
      </c>
      <c r="I91">
        <v>205</v>
      </c>
      <c r="J91">
        <v>1</v>
      </c>
      <c r="K91">
        <v>0</v>
      </c>
      <c r="L91" t="s">
        <v>142</v>
      </c>
    </row>
    <row r="92" spans="1:12" x14ac:dyDescent="0.3">
      <c r="A92" t="s">
        <v>61</v>
      </c>
      <c r="B92" t="s">
        <v>315</v>
      </c>
      <c r="C92">
        <v>13</v>
      </c>
      <c r="D92" t="s">
        <v>137</v>
      </c>
      <c r="E92" t="s">
        <v>416</v>
      </c>
      <c r="F92" t="s">
        <v>417</v>
      </c>
      <c r="G92" t="s">
        <v>418</v>
      </c>
      <c r="H92" t="s">
        <v>340</v>
      </c>
      <c r="I92">
        <v>183</v>
      </c>
      <c r="J92">
        <v>18</v>
      </c>
      <c r="K92">
        <v>0</v>
      </c>
      <c r="L92" t="s">
        <v>142</v>
      </c>
    </row>
    <row r="93" spans="1:12" x14ac:dyDescent="0.3">
      <c r="A93" t="s">
        <v>61</v>
      </c>
      <c r="B93" t="s">
        <v>315</v>
      </c>
      <c r="C93">
        <v>14</v>
      </c>
      <c r="D93" t="s">
        <v>163</v>
      </c>
      <c r="E93" t="s">
        <v>419</v>
      </c>
      <c r="F93" t="s">
        <v>420</v>
      </c>
      <c r="G93" t="s">
        <v>421</v>
      </c>
      <c r="H93" t="s">
        <v>315</v>
      </c>
      <c r="I93">
        <v>200</v>
      </c>
      <c r="J93">
        <v>25</v>
      </c>
      <c r="K93">
        <v>5</v>
      </c>
      <c r="L93" t="s">
        <v>142</v>
      </c>
    </row>
    <row r="94" spans="1:12" x14ac:dyDescent="0.3">
      <c r="A94" t="s">
        <v>61</v>
      </c>
      <c r="B94" t="s">
        <v>315</v>
      </c>
      <c r="C94">
        <v>15</v>
      </c>
      <c r="D94" t="s">
        <v>143</v>
      </c>
      <c r="E94" t="s">
        <v>422</v>
      </c>
      <c r="F94" t="s">
        <v>423</v>
      </c>
      <c r="G94" t="s">
        <v>424</v>
      </c>
      <c r="H94" t="s">
        <v>177</v>
      </c>
      <c r="I94">
        <v>189</v>
      </c>
      <c r="J94">
        <v>43</v>
      </c>
      <c r="K94">
        <v>3</v>
      </c>
      <c r="L94" t="s">
        <v>142</v>
      </c>
    </row>
    <row r="95" spans="1:12" x14ac:dyDescent="0.3">
      <c r="A95" t="s">
        <v>61</v>
      </c>
      <c r="B95" t="s">
        <v>315</v>
      </c>
      <c r="C95">
        <v>16</v>
      </c>
      <c r="D95" t="s">
        <v>143</v>
      </c>
      <c r="E95" t="s">
        <v>425</v>
      </c>
      <c r="F95" t="s">
        <v>426</v>
      </c>
      <c r="G95" t="s">
        <v>394</v>
      </c>
      <c r="H95" t="s">
        <v>177</v>
      </c>
      <c r="I95">
        <v>170</v>
      </c>
      <c r="J95">
        <v>32</v>
      </c>
      <c r="K95">
        <v>0</v>
      </c>
      <c r="L95" t="s">
        <v>142</v>
      </c>
    </row>
    <row r="96" spans="1:12" x14ac:dyDescent="0.3">
      <c r="A96" t="s">
        <v>61</v>
      </c>
      <c r="B96" t="s">
        <v>315</v>
      </c>
      <c r="C96">
        <v>17</v>
      </c>
      <c r="D96" t="s">
        <v>158</v>
      </c>
      <c r="E96" t="s">
        <v>427</v>
      </c>
      <c r="F96" t="s">
        <v>428</v>
      </c>
      <c r="G96" t="s">
        <v>212</v>
      </c>
      <c r="H96" t="s">
        <v>177</v>
      </c>
      <c r="I96">
        <v>187</v>
      </c>
      <c r="J96">
        <v>6</v>
      </c>
      <c r="K96">
        <v>1</v>
      </c>
      <c r="L96" t="s">
        <v>142</v>
      </c>
    </row>
    <row r="97" spans="1:12" x14ac:dyDescent="0.3">
      <c r="A97" t="s">
        <v>61</v>
      </c>
      <c r="B97" t="s">
        <v>315</v>
      </c>
      <c r="C97">
        <v>18</v>
      </c>
      <c r="D97" t="s">
        <v>158</v>
      </c>
      <c r="E97" t="s">
        <v>429</v>
      </c>
      <c r="F97" t="s">
        <v>430</v>
      </c>
      <c r="G97" t="s">
        <v>431</v>
      </c>
      <c r="H97" t="s">
        <v>177</v>
      </c>
      <c r="I97">
        <v>168</v>
      </c>
      <c r="J97">
        <v>38</v>
      </c>
      <c r="K97">
        <v>4</v>
      </c>
      <c r="L97" t="s">
        <v>142</v>
      </c>
    </row>
    <row r="98" spans="1:12" x14ac:dyDescent="0.3">
      <c r="A98" t="s">
        <v>61</v>
      </c>
      <c r="B98" t="s">
        <v>315</v>
      </c>
      <c r="C98">
        <v>19</v>
      </c>
      <c r="D98" t="s">
        <v>158</v>
      </c>
      <c r="E98" t="s">
        <v>432</v>
      </c>
      <c r="F98" t="s">
        <v>433</v>
      </c>
      <c r="G98" t="s">
        <v>434</v>
      </c>
      <c r="H98" t="s">
        <v>177</v>
      </c>
      <c r="I98">
        <v>187</v>
      </c>
      <c r="J98">
        <v>9</v>
      </c>
      <c r="K98">
        <v>1</v>
      </c>
      <c r="L98" t="s">
        <v>142</v>
      </c>
    </row>
    <row r="99" spans="1:12" x14ac:dyDescent="0.3">
      <c r="A99" t="s">
        <v>61</v>
      </c>
      <c r="B99" t="s">
        <v>315</v>
      </c>
      <c r="C99">
        <v>20</v>
      </c>
      <c r="D99" t="s">
        <v>158</v>
      </c>
      <c r="E99" t="s">
        <v>435</v>
      </c>
      <c r="F99" t="s">
        <v>436</v>
      </c>
      <c r="G99" t="s">
        <v>437</v>
      </c>
      <c r="H99" t="s">
        <v>177</v>
      </c>
      <c r="I99">
        <v>180</v>
      </c>
      <c r="J99">
        <v>61</v>
      </c>
      <c r="K99">
        <v>7</v>
      </c>
      <c r="L99" t="s">
        <v>142</v>
      </c>
    </row>
    <row r="100" spans="1:12" x14ac:dyDescent="0.3">
      <c r="A100" t="s">
        <v>61</v>
      </c>
      <c r="B100" t="s">
        <v>315</v>
      </c>
      <c r="C100">
        <v>21</v>
      </c>
      <c r="D100" t="s">
        <v>163</v>
      </c>
      <c r="E100" t="s">
        <v>438</v>
      </c>
      <c r="F100" t="s">
        <v>439</v>
      </c>
      <c r="G100" t="s">
        <v>203</v>
      </c>
      <c r="H100" t="s">
        <v>177</v>
      </c>
      <c r="I100">
        <v>182</v>
      </c>
      <c r="J100">
        <v>32</v>
      </c>
      <c r="K100">
        <v>1</v>
      </c>
      <c r="L100" t="s">
        <v>142</v>
      </c>
    </row>
    <row r="101" spans="1:12" x14ac:dyDescent="0.3">
      <c r="A101" t="s">
        <v>61</v>
      </c>
      <c r="B101" t="s">
        <v>315</v>
      </c>
      <c r="C101">
        <v>22</v>
      </c>
      <c r="D101" t="s">
        <v>158</v>
      </c>
      <c r="E101" t="s">
        <v>440</v>
      </c>
      <c r="F101" t="s">
        <v>441</v>
      </c>
      <c r="G101" t="s">
        <v>442</v>
      </c>
      <c r="H101" t="s">
        <v>177</v>
      </c>
      <c r="I101">
        <v>180</v>
      </c>
      <c r="J101">
        <v>21</v>
      </c>
      <c r="K101">
        <v>0</v>
      </c>
      <c r="L101" t="s">
        <v>142</v>
      </c>
    </row>
    <row r="102" spans="1:12" x14ac:dyDescent="0.3">
      <c r="A102" t="s">
        <v>61</v>
      </c>
      <c r="B102" t="s">
        <v>315</v>
      </c>
      <c r="C102">
        <v>23</v>
      </c>
      <c r="D102" t="s">
        <v>143</v>
      </c>
      <c r="E102" t="s">
        <v>443</v>
      </c>
      <c r="F102" t="s">
        <v>444</v>
      </c>
      <c r="G102" t="s">
        <v>431</v>
      </c>
      <c r="H102" t="s">
        <v>177</v>
      </c>
      <c r="I102">
        <v>187</v>
      </c>
      <c r="J102">
        <v>12</v>
      </c>
      <c r="K102">
        <v>0</v>
      </c>
      <c r="L102" t="s">
        <v>142</v>
      </c>
    </row>
    <row r="103" spans="1:12" x14ac:dyDescent="0.3">
      <c r="A103" t="s">
        <v>61</v>
      </c>
      <c r="B103" t="s">
        <v>315</v>
      </c>
      <c r="C103">
        <v>24</v>
      </c>
      <c r="D103" t="s">
        <v>158</v>
      </c>
      <c r="E103" t="s">
        <v>445</v>
      </c>
      <c r="F103" t="s">
        <v>446</v>
      </c>
      <c r="G103" t="s">
        <v>447</v>
      </c>
      <c r="H103" t="s">
        <v>162</v>
      </c>
      <c r="I103">
        <v>185</v>
      </c>
      <c r="J103">
        <v>7</v>
      </c>
      <c r="K103">
        <v>0</v>
      </c>
      <c r="L103" t="s">
        <v>142</v>
      </c>
    </row>
    <row r="104" spans="1:12" x14ac:dyDescent="0.3">
      <c r="A104" t="s">
        <v>61</v>
      </c>
      <c r="B104" t="s">
        <v>315</v>
      </c>
      <c r="C104">
        <v>25</v>
      </c>
      <c r="D104" t="s">
        <v>143</v>
      </c>
      <c r="E104" t="s">
        <v>448</v>
      </c>
      <c r="F104" t="s">
        <v>449</v>
      </c>
      <c r="G104" t="s">
        <v>450</v>
      </c>
      <c r="H104" t="s">
        <v>200</v>
      </c>
      <c r="I104">
        <v>195</v>
      </c>
      <c r="J104">
        <v>4</v>
      </c>
      <c r="K104">
        <v>0</v>
      </c>
      <c r="L104" t="s">
        <v>142</v>
      </c>
    </row>
    <row r="105" spans="1:12" x14ac:dyDescent="0.3">
      <c r="A105" t="s">
        <v>61</v>
      </c>
      <c r="B105" t="s">
        <v>315</v>
      </c>
      <c r="C105">
        <v>26</v>
      </c>
      <c r="D105" t="s">
        <v>158</v>
      </c>
      <c r="E105" t="s">
        <v>451</v>
      </c>
      <c r="F105" t="s">
        <v>452</v>
      </c>
      <c r="G105" t="s">
        <v>453</v>
      </c>
      <c r="H105" t="s">
        <v>315</v>
      </c>
      <c r="I105">
        <v>178</v>
      </c>
      <c r="J105">
        <v>35</v>
      </c>
      <c r="K105">
        <v>6</v>
      </c>
      <c r="L105" t="s">
        <v>142</v>
      </c>
    </row>
    <row r="106" spans="1:12" x14ac:dyDescent="0.3">
      <c r="A106" t="s">
        <v>47</v>
      </c>
      <c r="B106" t="s">
        <v>223</v>
      </c>
      <c r="C106">
        <v>1</v>
      </c>
      <c r="D106" t="s">
        <v>137</v>
      </c>
      <c r="E106" t="s">
        <v>454</v>
      </c>
      <c r="F106" t="s">
        <v>455</v>
      </c>
      <c r="G106" t="s">
        <v>403</v>
      </c>
      <c r="H106" t="s">
        <v>219</v>
      </c>
      <c r="I106">
        <v>199</v>
      </c>
      <c r="J106">
        <v>115</v>
      </c>
      <c r="K106">
        <v>0</v>
      </c>
      <c r="L106" t="s">
        <v>142</v>
      </c>
    </row>
    <row r="107" spans="1:12" x14ac:dyDescent="0.3">
      <c r="A107" t="s">
        <v>47</v>
      </c>
      <c r="B107" t="s">
        <v>223</v>
      </c>
      <c r="C107">
        <v>2</v>
      </c>
      <c r="D107" t="s">
        <v>143</v>
      </c>
      <c r="E107" t="s">
        <v>456</v>
      </c>
      <c r="F107" t="s">
        <v>457</v>
      </c>
      <c r="G107" t="s">
        <v>458</v>
      </c>
      <c r="H107" t="s">
        <v>281</v>
      </c>
      <c r="I107">
        <v>189</v>
      </c>
      <c r="J107">
        <v>26</v>
      </c>
      <c r="K107">
        <v>1</v>
      </c>
      <c r="L107" t="s">
        <v>142</v>
      </c>
    </row>
    <row r="108" spans="1:12" x14ac:dyDescent="0.3">
      <c r="A108" t="s">
        <v>47</v>
      </c>
      <c r="B108" t="s">
        <v>223</v>
      </c>
      <c r="C108">
        <v>3</v>
      </c>
      <c r="D108" t="s">
        <v>143</v>
      </c>
      <c r="E108" t="s">
        <v>459</v>
      </c>
      <c r="F108" t="s">
        <v>460</v>
      </c>
      <c r="G108" t="s">
        <v>176</v>
      </c>
      <c r="H108" t="s">
        <v>177</v>
      </c>
      <c r="I108">
        <v>185</v>
      </c>
      <c r="J108">
        <v>36</v>
      </c>
      <c r="K108">
        <v>1</v>
      </c>
      <c r="L108" t="s">
        <v>142</v>
      </c>
    </row>
    <row r="109" spans="1:12" x14ac:dyDescent="0.3">
      <c r="A109" t="s">
        <v>47</v>
      </c>
      <c r="B109" t="s">
        <v>223</v>
      </c>
      <c r="C109">
        <v>4</v>
      </c>
      <c r="D109" t="s">
        <v>143</v>
      </c>
      <c r="E109" t="s">
        <v>461</v>
      </c>
      <c r="F109" t="s">
        <v>462</v>
      </c>
      <c r="G109" t="s">
        <v>463</v>
      </c>
      <c r="H109" t="s">
        <v>223</v>
      </c>
      <c r="I109">
        <v>190</v>
      </c>
      <c r="J109">
        <v>15</v>
      </c>
      <c r="K109">
        <v>1</v>
      </c>
      <c r="L109" t="s">
        <v>142</v>
      </c>
    </row>
    <row r="110" spans="1:12" x14ac:dyDescent="0.3">
      <c r="A110" t="s">
        <v>47</v>
      </c>
      <c r="B110" t="s">
        <v>223</v>
      </c>
      <c r="C110">
        <v>5</v>
      </c>
      <c r="D110" t="s">
        <v>143</v>
      </c>
      <c r="E110" t="s">
        <v>464</v>
      </c>
      <c r="F110" t="s">
        <v>465</v>
      </c>
      <c r="G110" t="s">
        <v>466</v>
      </c>
      <c r="H110" t="s">
        <v>194</v>
      </c>
      <c r="I110">
        <v>182</v>
      </c>
      <c r="J110">
        <v>25</v>
      </c>
      <c r="K110">
        <v>4</v>
      </c>
      <c r="L110" t="s">
        <v>142</v>
      </c>
    </row>
    <row r="111" spans="1:12" x14ac:dyDescent="0.3">
      <c r="A111" t="s">
        <v>47</v>
      </c>
      <c r="B111" t="s">
        <v>223</v>
      </c>
      <c r="C111">
        <v>6</v>
      </c>
      <c r="D111" t="s">
        <v>158</v>
      </c>
      <c r="E111" t="s">
        <v>467</v>
      </c>
      <c r="F111" t="s">
        <v>468</v>
      </c>
      <c r="G111" t="s">
        <v>469</v>
      </c>
      <c r="H111" t="s">
        <v>219</v>
      </c>
      <c r="I111">
        <v>186</v>
      </c>
      <c r="J111">
        <v>140</v>
      </c>
      <c r="K111">
        <v>12</v>
      </c>
      <c r="L111" t="s">
        <v>142</v>
      </c>
    </row>
    <row r="112" spans="1:12" x14ac:dyDescent="0.3">
      <c r="A112" t="s">
        <v>47</v>
      </c>
      <c r="B112" t="s">
        <v>223</v>
      </c>
      <c r="C112">
        <v>7</v>
      </c>
      <c r="D112" t="s">
        <v>158</v>
      </c>
      <c r="E112" t="s">
        <v>470</v>
      </c>
      <c r="F112" t="s">
        <v>471</v>
      </c>
      <c r="G112" t="s">
        <v>472</v>
      </c>
      <c r="H112" t="s">
        <v>200</v>
      </c>
      <c r="I112">
        <v>181</v>
      </c>
      <c r="J112">
        <v>124</v>
      </c>
      <c r="K112">
        <v>38</v>
      </c>
      <c r="L112" t="s">
        <v>142</v>
      </c>
    </row>
    <row r="113" spans="1:12" x14ac:dyDescent="0.3">
      <c r="A113" t="s">
        <v>47</v>
      </c>
      <c r="B113" t="s">
        <v>223</v>
      </c>
      <c r="C113">
        <v>8</v>
      </c>
      <c r="D113" t="s">
        <v>158</v>
      </c>
      <c r="E113" t="s">
        <v>473</v>
      </c>
      <c r="F113" t="s">
        <v>474</v>
      </c>
      <c r="G113" t="s">
        <v>294</v>
      </c>
      <c r="H113" t="s">
        <v>194</v>
      </c>
      <c r="I113">
        <v>176</v>
      </c>
      <c r="J113">
        <v>90</v>
      </c>
      <c r="K113">
        <v>15</v>
      </c>
      <c r="L113" t="s">
        <v>142</v>
      </c>
    </row>
    <row r="114" spans="1:12" x14ac:dyDescent="0.3">
      <c r="A114" t="s">
        <v>47</v>
      </c>
      <c r="B114" t="s">
        <v>223</v>
      </c>
      <c r="C114">
        <v>9</v>
      </c>
      <c r="D114" t="s">
        <v>163</v>
      </c>
      <c r="E114" t="s">
        <v>475</v>
      </c>
      <c r="F114" t="s">
        <v>476</v>
      </c>
      <c r="G114" t="s">
        <v>472</v>
      </c>
      <c r="H114" t="s">
        <v>200</v>
      </c>
      <c r="I114">
        <v>190</v>
      </c>
      <c r="J114">
        <v>132</v>
      </c>
      <c r="K114">
        <v>93</v>
      </c>
      <c r="L114" t="s">
        <v>142</v>
      </c>
    </row>
    <row r="115" spans="1:12" x14ac:dyDescent="0.3">
      <c r="A115" t="s">
        <v>47</v>
      </c>
      <c r="B115" t="s">
        <v>223</v>
      </c>
      <c r="C115">
        <v>10</v>
      </c>
      <c r="D115" t="s">
        <v>163</v>
      </c>
      <c r="E115" t="s">
        <v>477</v>
      </c>
      <c r="F115" t="s">
        <v>478</v>
      </c>
      <c r="G115" t="s">
        <v>479</v>
      </c>
      <c r="H115" t="s">
        <v>194</v>
      </c>
      <c r="I115">
        <v>172</v>
      </c>
      <c r="J115">
        <v>57</v>
      </c>
      <c r="K115">
        <v>14</v>
      </c>
      <c r="L115" t="s">
        <v>142</v>
      </c>
    </row>
    <row r="116" spans="1:12" x14ac:dyDescent="0.3">
      <c r="A116" t="s">
        <v>47</v>
      </c>
      <c r="B116" t="s">
        <v>223</v>
      </c>
      <c r="C116">
        <v>11</v>
      </c>
      <c r="D116" t="s">
        <v>163</v>
      </c>
      <c r="E116" t="s">
        <v>480</v>
      </c>
      <c r="F116" t="s">
        <v>481</v>
      </c>
      <c r="G116" t="s">
        <v>193</v>
      </c>
      <c r="H116" t="s">
        <v>194</v>
      </c>
      <c r="I116">
        <v>173</v>
      </c>
      <c r="J116">
        <v>48</v>
      </c>
      <c r="K116">
        <v>7</v>
      </c>
      <c r="L116" t="s">
        <v>142</v>
      </c>
    </row>
    <row r="117" spans="1:12" x14ac:dyDescent="0.3">
      <c r="A117" t="s">
        <v>47</v>
      </c>
      <c r="B117" t="s">
        <v>223</v>
      </c>
      <c r="C117">
        <v>12</v>
      </c>
      <c r="D117" t="s">
        <v>137</v>
      </c>
      <c r="E117" t="s">
        <v>482</v>
      </c>
      <c r="F117" t="s">
        <v>483</v>
      </c>
      <c r="G117" t="s">
        <v>248</v>
      </c>
      <c r="H117" t="s">
        <v>194</v>
      </c>
      <c r="I117">
        <v>193</v>
      </c>
      <c r="J117">
        <v>3</v>
      </c>
      <c r="K117">
        <v>0</v>
      </c>
      <c r="L117" t="s">
        <v>142</v>
      </c>
    </row>
    <row r="118" spans="1:12" x14ac:dyDescent="0.3">
      <c r="A118" t="s">
        <v>47</v>
      </c>
      <c r="B118" t="s">
        <v>223</v>
      </c>
      <c r="C118">
        <v>13</v>
      </c>
      <c r="D118" t="s">
        <v>137</v>
      </c>
      <c r="E118" t="s">
        <v>484</v>
      </c>
      <c r="F118" t="s">
        <v>485</v>
      </c>
      <c r="G118" t="s">
        <v>254</v>
      </c>
      <c r="H118" t="s">
        <v>147</v>
      </c>
      <c r="I118">
        <v>200</v>
      </c>
      <c r="J118">
        <v>0</v>
      </c>
      <c r="K118">
        <v>0</v>
      </c>
      <c r="L118" t="s">
        <v>142</v>
      </c>
    </row>
    <row r="119" spans="1:12" x14ac:dyDescent="0.3">
      <c r="A119" t="s">
        <v>47</v>
      </c>
      <c r="B119" t="s">
        <v>223</v>
      </c>
      <c r="C119">
        <v>14</v>
      </c>
      <c r="D119" t="s">
        <v>163</v>
      </c>
      <c r="E119" t="s">
        <v>486</v>
      </c>
      <c r="F119" t="s">
        <v>487</v>
      </c>
      <c r="G119" t="s">
        <v>280</v>
      </c>
      <c r="H119" t="s">
        <v>281</v>
      </c>
      <c r="I119">
        <v>184</v>
      </c>
      <c r="J119">
        <v>33</v>
      </c>
      <c r="K119">
        <v>6</v>
      </c>
      <c r="L119" t="s">
        <v>142</v>
      </c>
    </row>
    <row r="120" spans="1:12" x14ac:dyDescent="0.3">
      <c r="A120" t="s">
        <v>47</v>
      </c>
      <c r="B120" t="s">
        <v>223</v>
      </c>
      <c r="C120">
        <v>15</v>
      </c>
      <c r="D120" t="s">
        <v>143</v>
      </c>
      <c r="E120" t="s">
        <v>488</v>
      </c>
      <c r="F120" t="s">
        <v>489</v>
      </c>
      <c r="G120" t="s">
        <v>146</v>
      </c>
      <c r="H120" t="s">
        <v>147</v>
      </c>
      <c r="I120">
        <v>190</v>
      </c>
      <c r="J120">
        <v>83</v>
      </c>
      <c r="K120">
        <v>10</v>
      </c>
      <c r="L120" t="s">
        <v>142</v>
      </c>
    </row>
    <row r="121" spans="1:12" x14ac:dyDescent="0.3">
      <c r="A121" t="s">
        <v>47</v>
      </c>
      <c r="B121" t="s">
        <v>223</v>
      </c>
      <c r="C121">
        <v>16</v>
      </c>
      <c r="D121" t="s">
        <v>143</v>
      </c>
      <c r="E121" t="s">
        <v>490</v>
      </c>
      <c r="F121" t="s">
        <v>491</v>
      </c>
      <c r="G121" t="s">
        <v>492</v>
      </c>
      <c r="H121" t="s">
        <v>200</v>
      </c>
      <c r="I121">
        <v>191</v>
      </c>
      <c r="J121">
        <v>8</v>
      </c>
      <c r="K121">
        <v>0</v>
      </c>
      <c r="L121" t="s">
        <v>142</v>
      </c>
    </row>
    <row r="122" spans="1:12" x14ac:dyDescent="0.3">
      <c r="A122" t="s">
        <v>47</v>
      </c>
      <c r="B122" t="s">
        <v>223</v>
      </c>
      <c r="C122">
        <v>17</v>
      </c>
      <c r="D122" t="s">
        <v>163</v>
      </c>
      <c r="E122" t="s">
        <v>493</v>
      </c>
      <c r="F122" t="s">
        <v>494</v>
      </c>
      <c r="G122" t="s">
        <v>495</v>
      </c>
      <c r="H122" t="s">
        <v>200</v>
      </c>
      <c r="I122">
        <v>192</v>
      </c>
      <c r="J122">
        <v>35</v>
      </c>
      <c r="K122">
        <v>9</v>
      </c>
      <c r="L122" t="s">
        <v>142</v>
      </c>
    </row>
    <row r="123" spans="1:12" x14ac:dyDescent="0.3">
      <c r="A123" t="s">
        <v>47</v>
      </c>
      <c r="B123" t="s">
        <v>223</v>
      </c>
      <c r="C123">
        <v>18</v>
      </c>
      <c r="D123" t="s">
        <v>143</v>
      </c>
      <c r="E123" t="s">
        <v>496</v>
      </c>
      <c r="F123" t="s">
        <v>497</v>
      </c>
      <c r="G123" t="s">
        <v>463</v>
      </c>
      <c r="H123" t="s">
        <v>223</v>
      </c>
      <c r="I123">
        <v>178</v>
      </c>
      <c r="J123">
        <v>6</v>
      </c>
      <c r="K123">
        <v>0</v>
      </c>
      <c r="L123" t="s">
        <v>142</v>
      </c>
    </row>
    <row r="124" spans="1:12" x14ac:dyDescent="0.3">
      <c r="A124" t="s">
        <v>47</v>
      </c>
      <c r="B124" t="s">
        <v>223</v>
      </c>
      <c r="C124">
        <v>19</v>
      </c>
      <c r="D124" t="s">
        <v>158</v>
      </c>
      <c r="E124" t="s">
        <v>498</v>
      </c>
      <c r="F124" t="s">
        <v>499</v>
      </c>
      <c r="G124" t="s">
        <v>254</v>
      </c>
      <c r="H124" t="s">
        <v>147</v>
      </c>
      <c r="I124">
        <v>179</v>
      </c>
      <c r="J124">
        <v>4</v>
      </c>
      <c r="K124">
        <v>0</v>
      </c>
      <c r="L124" t="s">
        <v>142</v>
      </c>
    </row>
    <row r="125" spans="1:12" x14ac:dyDescent="0.3">
      <c r="A125" t="s">
        <v>47</v>
      </c>
      <c r="B125" t="s">
        <v>223</v>
      </c>
      <c r="C125">
        <v>20</v>
      </c>
      <c r="D125" t="s">
        <v>158</v>
      </c>
      <c r="E125" t="s">
        <v>500</v>
      </c>
      <c r="F125" t="s">
        <v>501</v>
      </c>
      <c r="G125" t="s">
        <v>463</v>
      </c>
      <c r="H125" t="s">
        <v>223</v>
      </c>
      <c r="I125">
        <v>195</v>
      </c>
      <c r="J125">
        <v>40</v>
      </c>
      <c r="K125">
        <v>8</v>
      </c>
      <c r="L125" t="s">
        <v>142</v>
      </c>
    </row>
    <row r="126" spans="1:12" x14ac:dyDescent="0.3">
      <c r="A126" t="s">
        <v>47</v>
      </c>
      <c r="B126" t="s">
        <v>223</v>
      </c>
      <c r="C126">
        <v>21</v>
      </c>
      <c r="D126" t="s">
        <v>143</v>
      </c>
      <c r="E126" t="s">
        <v>502</v>
      </c>
      <c r="F126" t="s">
        <v>503</v>
      </c>
      <c r="G126" t="s">
        <v>504</v>
      </c>
      <c r="H126" t="s">
        <v>194</v>
      </c>
      <c r="I126">
        <v>185</v>
      </c>
      <c r="J126">
        <v>69</v>
      </c>
      <c r="K126">
        <v>2</v>
      </c>
      <c r="L126" t="s">
        <v>142</v>
      </c>
    </row>
    <row r="127" spans="1:12" x14ac:dyDescent="0.3">
      <c r="A127" t="s">
        <v>47</v>
      </c>
      <c r="B127" t="s">
        <v>223</v>
      </c>
      <c r="C127">
        <v>22</v>
      </c>
      <c r="D127" t="s">
        <v>158</v>
      </c>
      <c r="E127" t="s">
        <v>505</v>
      </c>
      <c r="F127" t="s">
        <v>506</v>
      </c>
      <c r="G127" t="s">
        <v>492</v>
      </c>
      <c r="H127" t="s">
        <v>200</v>
      </c>
      <c r="I127">
        <v>180</v>
      </c>
      <c r="J127">
        <v>28</v>
      </c>
      <c r="K127">
        <v>3</v>
      </c>
      <c r="L127" t="s">
        <v>142</v>
      </c>
    </row>
    <row r="128" spans="1:12" x14ac:dyDescent="0.3">
      <c r="A128" t="s">
        <v>47</v>
      </c>
      <c r="B128" t="s">
        <v>223</v>
      </c>
      <c r="C128">
        <v>23</v>
      </c>
      <c r="D128" t="s">
        <v>158</v>
      </c>
      <c r="E128" t="s">
        <v>507</v>
      </c>
      <c r="F128" t="s">
        <v>508</v>
      </c>
      <c r="G128" t="s">
        <v>509</v>
      </c>
      <c r="H128" t="s">
        <v>347</v>
      </c>
      <c r="I128">
        <v>178</v>
      </c>
      <c r="J128">
        <v>19</v>
      </c>
      <c r="K128">
        <v>2</v>
      </c>
      <c r="L128" t="s">
        <v>142</v>
      </c>
    </row>
    <row r="129" spans="1:12" x14ac:dyDescent="0.3">
      <c r="A129" t="s">
        <v>47</v>
      </c>
      <c r="B129" t="s">
        <v>223</v>
      </c>
      <c r="C129">
        <v>24</v>
      </c>
      <c r="D129" t="s">
        <v>158</v>
      </c>
      <c r="E129" t="s">
        <v>510</v>
      </c>
      <c r="F129" t="s">
        <v>511</v>
      </c>
      <c r="G129" t="s">
        <v>294</v>
      </c>
      <c r="H129" t="s">
        <v>194</v>
      </c>
      <c r="I129">
        <v>192</v>
      </c>
      <c r="J129">
        <v>33</v>
      </c>
      <c r="K129">
        <v>1</v>
      </c>
      <c r="L129" t="s">
        <v>142</v>
      </c>
    </row>
    <row r="130" spans="1:12" x14ac:dyDescent="0.3">
      <c r="A130" t="s">
        <v>47</v>
      </c>
      <c r="B130" t="s">
        <v>223</v>
      </c>
      <c r="C130">
        <v>25</v>
      </c>
      <c r="D130" t="s">
        <v>143</v>
      </c>
      <c r="E130" t="s">
        <v>512</v>
      </c>
      <c r="F130" t="s">
        <v>513</v>
      </c>
      <c r="G130" t="s">
        <v>146</v>
      </c>
      <c r="H130" t="s">
        <v>147</v>
      </c>
      <c r="I130">
        <v>183</v>
      </c>
      <c r="J130">
        <v>8</v>
      </c>
      <c r="K130">
        <v>0</v>
      </c>
      <c r="L130" t="s">
        <v>142</v>
      </c>
    </row>
    <row r="131" spans="1:12" x14ac:dyDescent="0.3">
      <c r="A131" t="s">
        <v>47</v>
      </c>
      <c r="B131" t="s">
        <v>223</v>
      </c>
      <c r="C131">
        <v>26</v>
      </c>
      <c r="D131" t="s">
        <v>163</v>
      </c>
      <c r="E131" t="s">
        <v>514</v>
      </c>
      <c r="F131" t="s">
        <v>515</v>
      </c>
      <c r="G131" t="s">
        <v>146</v>
      </c>
      <c r="H131" t="s">
        <v>147</v>
      </c>
      <c r="I131">
        <v>188</v>
      </c>
      <c r="J131">
        <v>5</v>
      </c>
      <c r="K131">
        <v>0</v>
      </c>
      <c r="L131" t="s">
        <v>142</v>
      </c>
    </row>
    <row r="132" spans="1:12" x14ac:dyDescent="0.3">
      <c r="A132" t="s">
        <v>516</v>
      </c>
      <c r="B132" t="s">
        <v>517</v>
      </c>
      <c r="C132">
        <v>1</v>
      </c>
      <c r="D132" t="s">
        <v>137</v>
      </c>
      <c r="E132" t="s">
        <v>518</v>
      </c>
      <c r="F132" t="s">
        <v>519</v>
      </c>
      <c r="G132" t="s">
        <v>327</v>
      </c>
      <c r="H132" t="s">
        <v>177</v>
      </c>
      <c r="I132">
        <v>193</v>
      </c>
      <c r="J132">
        <v>30</v>
      </c>
      <c r="K132">
        <v>0</v>
      </c>
      <c r="L132" t="s">
        <v>142</v>
      </c>
    </row>
    <row r="133" spans="1:12" x14ac:dyDescent="0.3">
      <c r="A133" t="s">
        <v>516</v>
      </c>
      <c r="B133" t="s">
        <v>517</v>
      </c>
      <c r="C133">
        <v>2</v>
      </c>
      <c r="D133" t="s">
        <v>143</v>
      </c>
      <c r="E133" t="s">
        <v>520</v>
      </c>
      <c r="F133" t="s">
        <v>521</v>
      </c>
      <c r="G133" t="s">
        <v>522</v>
      </c>
      <c r="H133" t="s">
        <v>523</v>
      </c>
      <c r="I133">
        <v>189</v>
      </c>
      <c r="J133">
        <v>12</v>
      </c>
      <c r="K133">
        <v>1</v>
      </c>
      <c r="L133" t="s">
        <v>142</v>
      </c>
    </row>
    <row r="134" spans="1:12" x14ac:dyDescent="0.3">
      <c r="A134" t="s">
        <v>516</v>
      </c>
      <c r="B134" t="s">
        <v>517</v>
      </c>
      <c r="C134">
        <v>3</v>
      </c>
      <c r="D134" t="s">
        <v>143</v>
      </c>
      <c r="E134" t="s">
        <v>524</v>
      </c>
      <c r="F134" t="s">
        <v>525</v>
      </c>
      <c r="G134" t="s">
        <v>526</v>
      </c>
      <c r="H134" t="s">
        <v>200</v>
      </c>
      <c r="I134">
        <v>191</v>
      </c>
      <c r="J134">
        <v>33</v>
      </c>
      <c r="K134">
        <v>0</v>
      </c>
      <c r="L134" t="s">
        <v>142</v>
      </c>
    </row>
    <row r="135" spans="1:12" x14ac:dyDescent="0.3">
      <c r="A135" t="s">
        <v>516</v>
      </c>
      <c r="B135" t="s">
        <v>517</v>
      </c>
      <c r="C135">
        <v>4</v>
      </c>
      <c r="D135" t="s">
        <v>143</v>
      </c>
      <c r="E135" t="s">
        <v>527</v>
      </c>
      <c r="F135" t="s">
        <v>528</v>
      </c>
      <c r="G135" t="s">
        <v>362</v>
      </c>
      <c r="H135" t="s">
        <v>200</v>
      </c>
      <c r="I135">
        <v>192</v>
      </c>
      <c r="J135">
        <v>17</v>
      </c>
      <c r="K135">
        <v>1</v>
      </c>
      <c r="L135" t="s">
        <v>142</v>
      </c>
    </row>
    <row r="136" spans="1:12" x14ac:dyDescent="0.3">
      <c r="A136" t="s">
        <v>516</v>
      </c>
      <c r="B136" t="s">
        <v>517</v>
      </c>
      <c r="C136">
        <v>5</v>
      </c>
      <c r="D136" t="s">
        <v>143</v>
      </c>
      <c r="E136" t="s">
        <v>529</v>
      </c>
      <c r="F136" t="s">
        <v>530</v>
      </c>
      <c r="G136" t="s">
        <v>495</v>
      </c>
      <c r="H136" t="s">
        <v>200</v>
      </c>
      <c r="I136">
        <v>183</v>
      </c>
      <c r="J136">
        <v>69</v>
      </c>
      <c r="K136">
        <v>0</v>
      </c>
      <c r="L136" t="s">
        <v>142</v>
      </c>
    </row>
    <row r="137" spans="1:12" x14ac:dyDescent="0.3">
      <c r="A137" t="s">
        <v>516</v>
      </c>
      <c r="B137" t="s">
        <v>517</v>
      </c>
      <c r="C137">
        <v>6</v>
      </c>
      <c r="D137" t="s">
        <v>158</v>
      </c>
      <c r="E137" t="s">
        <v>531</v>
      </c>
      <c r="F137" t="s">
        <v>532</v>
      </c>
      <c r="G137" t="s">
        <v>418</v>
      </c>
      <c r="H137" t="s">
        <v>340</v>
      </c>
      <c r="I137">
        <v>191</v>
      </c>
      <c r="J137">
        <v>32</v>
      </c>
      <c r="K137">
        <v>2</v>
      </c>
      <c r="L137" t="s">
        <v>142</v>
      </c>
    </row>
    <row r="138" spans="1:12" x14ac:dyDescent="0.3">
      <c r="A138" t="s">
        <v>516</v>
      </c>
      <c r="B138" t="s">
        <v>517</v>
      </c>
      <c r="C138">
        <v>7</v>
      </c>
      <c r="D138" t="s">
        <v>143</v>
      </c>
      <c r="E138" t="s">
        <v>533</v>
      </c>
      <c r="F138" t="s">
        <v>534</v>
      </c>
      <c r="G138" t="s">
        <v>280</v>
      </c>
      <c r="H138" t="s">
        <v>281</v>
      </c>
      <c r="I138">
        <v>180</v>
      </c>
      <c r="J138">
        <v>31</v>
      </c>
      <c r="K138">
        <v>1</v>
      </c>
      <c r="L138" t="s">
        <v>142</v>
      </c>
    </row>
    <row r="139" spans="1:12" x14ac:dyDescent="0.3">
      <c r="A139" t="s">
        <v>516</v>
      </c>
      <c r="B139" t="s">
        <v>517</v>
      </c>
      <c r="C139">
        <v>8</v>
      </c>
      <c r="D139" t="s">
        <v>158</v>
      </c>
      <c r="E139" t="s">
        <v>535</v>
      </c>
      <c r="F139" t="s">
        <v>536</v>
      </c>
      <c r="G139" t="s">
        <v>187</v>
      </c>
      <c r="H139" t="s">
        <v>141</v>
      </c>
      <c r="I139">
        <v>187</v>
      </c>
      <c r="J139">
        <v>22</v>
      </c>
      <c r="K139">
        <v>1</v>
      </c>
      <c r="L139" t="s">
        <v>142</v>
      </c>
    </row>
    <row r="140" spans="1:12" x14ac:dyDescent="0.3">
      <c r="A140" t="s">
        <v>516</v>
      </c>
      <c r="B140" t="s">
        <v>517</v>
      </c>
      <c r="C140">
        <v>9</v>
      </c>
      <c r="D140" t="s">
        <v>163</v>
      </c>
      <c r="E140" t="s">
        <v>537</v>
      </c>
      <c r="F140" t="s">
        <v>538</v>
      </c>
      <c r="G140" t="s">
        <v>539</v>
      </c>
      <c r="H140" t="s">
        <v>540</v>
      </c>
      <c r="I140">
        <v>189</v>
      </c>
      <c r="J140">
        <v>14</v>
      </c>
      <c r="K140">
        <v>1</v>
      </c>
      <c r="L140" t="s">
        <v>142</v>
      </c>
    </row>
    <row r="141" spans="1:12" x14ac:dyDescent="0.3">
      <c r="A141" t="s">
        <v>516</v>
      </c>
      <c r="B141" t="s">
        <v>517</v>
      </c>
      <c r="C141">
        <v>10</v>
      </c>
      <c r="D141" t="s">
        <v>163</v>
      </c>
      <c r="E141" t="s">
        <v>541</v>
      </c>
      <c r="F141" t="s">
        <v>542</v>
      </c>
      <c r="G141" t="s">
        <v>543</v>
      </c>
      <c r="H141" t="s">
        <v>177</v>
      </c>
      <c r="I141">
        <v>185</v>
      </c>
      <c r="J141">
        <v>44</v>
      </c>
      <c r="K141">
        <v>4</v>
      </c>
      <c r="L141" t="s">
        <v>142</v>
      </c>
    </row>
    <row r="142" spans="1:12" x14ac:dyDescent="0.3">
      <c r="A142" t="s">
        <v>516</v>
      </c>
      <c r="B142" t="s">
        <v>517</v>
      </c>
      <c r="C142">
        <v>11</v>
      </c>
      <c r="D142" t="s">
        <v>163</v>
      </c>
      <c r="E142" t="s">
        <v>544</v>
      </c>
      <c r="F142" t="s">
        <v>545</v>
      </c>
      <c r="G142" t="s">
        <v>434</v>
      </c>
      <c r="H142" t="s">
        <v>177</v>
      </c>
      <c r="I142">
        <v>192</v>
      </c>
      <c r="J142">
        <v>151</v>
      </c>
      <c r="K142">
        <v>73</v>
      </c>
      <c r="L142" t="s">
        <v>142</v>
      </c>
    </row>
    <row r="143" spans="1:12" x14ac:dyDescent="0.3">
      <c r="A143" t="s">
        <v>516</v>
      </c>
      <c r="B143" t="s">
        <v>517</v>
      </c>
      <c r="C143">
        <v>12</v>
      </c>
      <c r="D143" t="s">
        <v>137</v>
      </c>
      <c r="E143" t="s">
        <v>546</v>
      </c>
      <c r="F143" t="s">
        <v>547</v>
      </c>
      <c r="G143" t="s">
        <v>548</v>
      </c>
      <c r="H143" t="s">
        <v>517</v>
      </c>
      <c r="I143">
        <v>193</v>
      </c>
      <c r="J143">
        <v>0</v>
      </c>
      <c r="K143">
        <v>0</v>
      </c>
      <c r="L143" t="s">
        <v>142</v>
      </c>
    </row>
    <row r="144" spans="1:12" x14ac:dyDescent="0.3">
      <c r="A144" t="s">
        <v>516</v>
      </c>
      <c r="B144" t="s">
        <v>517</v>
      </c>
      <c r="C144">
        <v>13</v>
      </c>
      <c r="D144" t="s">
        <v>158</v>
      </c>
      <c r="E144" t="s">
        <v>549</v>
      </c>
      <c r="F144" t="s">
        <v>550</v>
      </c>
      <c r="G144" t="s">
        <v>551</v>
      </c>
      <c r="H144" t="s">
        <v>552</v>
      </c>
      <c r="I144">
        <v>178</v>
      </c>
      <c r="J144">
        <v>20</v>
      </c>
      <c r="K144">
        <v>0</v>
      </c>
      <c r="L144" t="s">
        <v>142</v>
      </c>
    </row>
    <row r="145" spans="1:12" x14ac:dyDescent="0.3">
      <c r="A145" t="s">
        <v>516</v>
      </c>
      <c r="B145" t="s">
        <v>517</v>
      </c>
      <c r="C145">
        <v>14</v>
      </c>
      <c r="D145" t="s">
        <v>158</v>
      </c>
      <c r="E145" t="s">
        <v>553</v>
      </c>
      <c r="F145" t="s">
        <v>554</v>
      </c>
      <c r="G145" t="s">
        <v>555</v>
      </c>
      <c r="H145" t="s">
        <v>308</v>
      </c>
      <c r="I145">
        <v>183</v>
      </c>
      <c r="J145">
        <v>15</v>
      </c>
      <c r="K145">
        <v>0</v>
      </c>
      <c r="L145" t="s">
        <v>142</v>
      </c>
    </row>
    <row r="146" spans="1:12" x14ac:dyDescent="0.3">
      <c r="A146" t="s">
        <v>516</v>
      </c>
      <c r="B146" t="s">
        <v>517</v>
      </c>
      <c r="C146">
        <v>15</v>
      </c>
      <c r="D146" t="s">
        <v>158</v>
      </c>
      <c r="E146" t="s">
        <v>556</v>
      </c>
      <c r="F146" t="s">
        <v>557</v>
      </c>
      <c r="G146" t="s">
        <v>414</v>
      </c>
      <c r="H146" t="s">
        <v>415</v>
      </c>
      <c r="I146">
        <v>176</v>
      </c>
      <c r="J146">
        <v>17</v>
      </c>
      <c r="K146">
        <v>1</v>
      </c>
      <c r="L146" t="s">
        <v>142</v>
      </c>
    </row>
    <row r="147" spans="1:12" x14ac:dyDescent="0.3">
      <c r="A147" t="s">
        <v>516</v>
      </c>
      <c r="B147" t="s">
        <v>517</v>
      </c>
      <c r="C147">
        <v>16</v>
      </c>
      <c r="D147" t="s">
        <v>158</v>
      </c>
      <c r="E147" t="s">
        <v>558</v>
      </c>
      <c r="F147" t="s">
        <v>559</v>
      </c>
      <c r="G147" t="s">
        <v>560</v>
      </c>
      <c r="H147" t="s">
        <v>194</v>
      </c>
      <c r="I147">
        <v>179</v>
      </c>
      <c r="J147">
        <v>37</v>
      </c>
      <c r="K147">
        <v>0</v>
      </c>
      <c r="L147" t="s">
        <v>142</v>
      </c>
    </row>
    <row r="148" spans="1:12" x14ac:dyDescent="0.3">
      <c r="A148" t="s">
        <v>516</v>
      </c>
      <c r="B148" t="s">
        <v>517</v>
      </c>
      <c r="C148">
        <v>17</v>
      </c>
      <c r="D148" t="s">
        <v>158</v>
      </c>
      <c r="E148" t="s">
        <v>561</v>
      </c>
      <c r="F148" t="s">
        <v>562</v>
      </c>
      <c r="G148" t="s">
        <v>563</v>
      </c>
      <c r="H148" t="s">
        <v>177</v>
      </c>
      <c r="I148">
        <v>182</v>
      </c>
      <c r="J148">
        <v>22</v>
      </c>
      <c r="K148">
        <v>0</v>
      </c>
      <c r="L148" t="s">
        <v>142</v>
      </c>
    </row>
    <row r="149" spans="1:12" x14ac:dyDescent="0.3">
      <c r="A149" t="s">
        <v>516</v>
      </c>
      <c r="B149" t="s">
        <v>517</v>
      </c>
      <c r="C149">
        <v>18</v>
      </c>
      <c r="D149" t="s">
        <v>143</v>
      </c>
      <c r="E149" t="s">
        <v>564</v>
      </c>
      <c r="F149" t="s">
        <v>565</v>
      </c>
      <c r="G149" t="s">
        <v>434</v>
      </c>
      <c r="H149" t="s">
        <v>177</v>
      </c>
      <c r="I149">
        <v>194</v>
      </c>
      <c r="J149">
        <v>21</v>
      </c>
      <c r="K149">
        <v>2</v>
      </c>
      <c r="L149" t="s">
        <v>142</v>
      </c>
    </row>
    <row r="150" spans="1:12" x14ac:dyDescent="0.3">
      <c r="A150" t="s">
        <v>516</v>
      </c>
      <c r="B150" t="s">
        <v>517</v>
      </c>
      <c r="C150">
        <v>19</v>
      </c>
      <c r="D150" t="s">
        <v>163</v>
      </c>
      <c r="E150" t="s">
        <v>566</v>
      </c>
      <c r="F150" t="s">
        <v>567</v>
      </c>
      <c r="G150" t="s">
        <v>383</v>
      </c>
      <c r="H150" t="s">
        <v>315</v>
      </c>
      <c r="I150">
        <v>186</v>
      </c>
      <c r="J150">
        <v>14</v>
      </c>
      <c r="K150">
        <v>2</v>
      </c>
      <c r="L150" t="s">
        <v>142</v>
      </c>
    </row>
    <row r="151" spans="1:12" x14ac:dyDescent="0.3">
      <c r="A151" t="s">
        <v>516</v>
      </c>
      <c r="B151" t="s">
        <v>517</v>
      </c>
      <c r="C151">
        <v>20</v>
      </c>
      <c r="D151" t="s">
        <v>163</v>
      </c>
      <c r="E151" t="s">
        <v>568</v>
      </c>
      <c r="F151" t="s">
        <v>569</v>
      </c>
      <c r="G151" t="s">
        <v>447</v>
      </c>
      <c r="H151" t="s">
        <v>162</v>
      </c>
      <c r="I151">
        <v>175</v>
      </c>
      <c r="J151">
        <v>20</v>
      </c>
      <c r="K151">
        <v>1</v>
      </c>
      <c r="L151" t="s">
        <v>142</v>
      </c>
    </row>
    <row r="152" spans="1:12" x14ac:dyDescent="0.3">
      <c r="A152" t="s">
        <v>516</v>
      </c>
      <c r="B152" t="s">
        <v>517</v>
      </c>
      <c r="C152">
        <v>21</v>
      </c>
      <c r="D152" t="s">
        <v>143</v>
      </c>
      <c r="E152" t="s">
        <v>570</v>
      </c>
      <c r="F152" t="s">
        <v>571</v>
      </c>
      <c r="G152" t="s">
        <v>572</v>
      </c>
      <c r="H152" t="s">
        <v>573</v>
      </c>
      <c r="I152">
        <v>201</v>
      </c>
      <c r="J152">
        <v>7</v>
      </c>
      <c r="K152">
        <v>0</v>
      </c>
      <c r="L152" t="s">
        <v>142</v>
      </c>
    </row>
    <row r="153" spans="1:12" x14ac:dyDescent="0.3">
      <c r="A153" t="s">
        <v>516</v>
      </c>
      <c r="B153" t="s">
        <v>517</v>
      </c>
      <c r="C153">
        <v>22</v>
      </c>
      <c r="D153" t="s">
        <v>137</v>
      </c>
      <c r="E153" t="s">
        <v>574</v>
      </c>
      <c r="F153" t="s">
        <v>575</v>
      </c>
      <c r="G153" t="s">
        <v>572</v>
      </c>
      <c r="H153" t="s">
        <v>573</v>
      </c>
      <c r="I153">
        <v>189</v>
      </c>
      <c r="J153">
        <v>3</v>
      </c>
      <c r="K153">
        <v>0</v>
      </c>
      <c r="L153" t="s">
        <v>142</v>
      </c>
    </row>
    <row r="154" spans="1:12" x14ac:dyDescent="0.3">
      <c r="A154" t="s">
        <v>516</v>
      </c>
      <c r="B154" t="s">
        <v>517</v>
      </c>
      <c r="C154">
        <v>23</v>
      </c>
      <c r="D154" t="s">
        <v>163</v>
      </c>
      <c r="E154" t="s">
        <v>576</v>
      </c>
      <c r="F154" t="s">
        <v>577</v>
      </c>
      <c r="G154" t="s">
        <v>578</v>
      </c>
      <c r="H154" t="s">
        <v>177</v>
      </c>
      <c r="I154">
        <v>196</v>
      </c>
      <c r="J154">
        <v>11</v>
      </c>
      <c r="K154">
        <v>4</v>
      </c>
      <c r="L154" t="s">
        <v>142</v>
      </c>
    </row>
    <row r="155" spans="1:12" x14ac:dyDescent="0.3">
      <c r="A155" t="s">
        <v>516</v>
      </c>
      <c r="B155" t="s">
        <v>517</v>
      </c>
      <c r="C155">
        <v>24</v>
      </c>
      <c r="D155" t="s">
        <v>143</v>
      </c>
      <c r="E155" t="s">
        <v>579</v>
      </c>
      <c r="F155" t="s">
        <v>580</v>
      </c>
      <c r="G155" t="s">
        <v>581</v>
      </c>
      <c r="H155" t="s">
        <v>315</v>
      </c>
      <c r="I155">
        <v>188</v>
      </c>
      <c r="J155">
        <v>9</v>
      </c>
      <c r="K155">
        <v>0</v>
      </c>
      <c r="L155" t="s">
        <v>142</v>
      </c>
    </row>
    <row r="156" spans="1:12" x14ac:dyDescent="0.3">
      <c r="A156" t="s">
        <v>516</v>
      </c>
      <c r="B156" t="s">
        <v>517</v>
      </c>
      <c r="C156">
        <v>25</v>
      </c>
      <c r="D156" t="s">
        <v>163</v>
      </c>
      <c r="E156" t="s">
        <v>582</v>
      </c>
      <c r="F156" t="s">
        <v>583</v>
      </c>
      <c r="G156" t="s">
        <v>584</v>
      </c>
      <c r="H156" t="s">
        <v>585</v>
      </c>
      <c r="I156">
        <v>190</v>
      </c>
      <c r="J156">
        <v>5</v>
      </c>
      <c r="K156">
        <v>1</v>
      </c>
      <c r="L156" t="s">
        <v>142</v>
      </c>
    </row>
    <row r="157" spans="1:12" x14ac:dyDescent="0.3">
      <c r="A157" t="s">
        <v>516</v>
      </c>
      <c r="B157" t="s">
        <v>517</v>
      </c>
      <c r="C157">
        <v>26</v>
      </c>
      <c r="D157" t="s">
        <v>158</v>
      </c>
      <c r="E157" t="s">
        <v>586</v>
      </c>
      <c r="F157" t="s">
        <v>587</v>
      </c>
      <c r="G157" t="s">
        <v>588</v>
      </c>
      <c r="H157" t="s">
        <v>415</v>
      </c>
      <c r="I157">
        <v>182</v>
      </c>
      <c r="J157">
        <v>5</v>
      </c>
      <c r="K157">
        <v>2</v>
      </c>
      <c r="L157" t="s">
        <v>142</v>
      </c>
    </row>
    <row r="158" spans="1:12" x14ac:dyDescent="0.3">
      <c r="A158" t="s">
        <v>29</v>
      </c>
      <c r="B158" t="s">
        <v>288</v>
      </c>
      <c r="C158">
        <v>1</v>
      </c>
      <c r="D158" t="s">
        <v>137</v>
      </c>
      <c r="E158" t="s">
        <v>589</v>
      </c>
      <c r="F158" t="s">
        <v>590</v>
      </c>
      <c r="G158" t="s">
        <v>284</v>
      </c>
      <c r="H158" t="s">
        <v>194</v>
      </c>
      <c r="I158">
        <v>193</v>
      </c>
      <c r="J158">
        <v>83</v>
      </c>
      <c r="K158">
        <v>0</v>
      </c>
      <c r="L158" t="s">
        <v>142</v>
      </c>
    </row>
    <row r="159" spans="1:12" x14ac:dyDescent="0.3">
      <c r="A159" t="s">
        <v>29</v>
      </c>
      <c r="B159" t="s">
        <v>288</v>
      </c>
      <c r="C159">
        <v>2</v>
      </c>
      <c r="D159" t="s">
        <v>158</v>
      </c>
      <c r="E159" t="s">
        <v>591</v>
      </c>
      <c r="F159" t="s">
        <v>592</v>
      </c>
      <c r="G159" t="s">
        <v>495</v>
      </c>
      <c r="H159" t="s">
        <v>200</v>
      </c>
      <c r="I159">
        <v>184</v>
      </c>
      <c r="J159">
        <v>5</v>
      </c>
      <c r="K159">
        <v>0</v>
      </c>
      <c r="L159" t="s">
        <v>142</v>
      </c>
    </row>
    <row r="160" spans="1:12" x14ac:dyDescent="0.3">
      <c r="A160" t="s">
        <v>29</v>
      </c>
      <c r="B160" t="s">
        <v>288</v>
      </c>
      <c r="C160">
        <v>3</v>
      </c>
      <c r="D160" t="s">
        <v>143</v>
      </c>
      <c r="E160" t="s">
        <v>593</v>
      </c>
      <c r="F160" t="s">
        <v>594</v>
      </c>
      <c r="G160" t="s">
        <v>479</v>
      </c>
      <c r="H160" t="s">
        <v>194</v>
      </c>
      <c r="I160">
        <v>190</v>
      </c>
      <c r="J160">
        <v>22</v>
      </c>
      <c r="K160">
        <v>1</v>
      </c>
      <c r="L160" t="s">
        <v>142</v>
      </c>
    </row>
    <row r="161" spans="1:12" x14ac:dyDescent="0.3">
      <c r="A161" t="s">
        <v>29</v>
      </c>
      <c r="B161" t="s">
        <v>288</v>
      </c>
      <c r="C161">
        <v>4</v>
      </c>
      <c r="D161" t="s">
        <v>143</v>
      </c>
      <c r="E161" t="s">
        <v>595</v>
      </c>
      <c r="F161" t="s">
        <v>596</v>
      </c>
      <c r="G161" t="s">
        <v>597</v>
      </c>
      <c r="H161" t="s">
        <v>147</v>
      </c>
      <c r="I161">
        <v>183</v>
      </c>
      <c r="J161">
        <v>110</v>
      </c>
      <c r="K161">
        <v>7</v>
      </c>
      <c r="L161" t="s">
        <v>142</v>
      </c>
    </row>
    <row r="162" spans="1:12" x14ac:dyDescent="0.3">
      <c r="A162" t="s">
        <v>29</v>
      </c>
      <c r="B162" t="s">
        <v>288</v>
      </c>
      <c r="C162">
        <v>5</v>
      </c>
      <c r="D162" t="s">
        <v>158</v>
      </c>
      <c r="E162" t="s">
        <v>598</v>
      </c>
      <c r="F162" t="s">
        <v>599</v>
      </c>
      <c r="G162" t="s">
        <v>248</v>
      </c>
      <c r="H162" t="s">
        <v>194</v>
      </c>
      <c r="I162">
        <v>185</v>
      </c>
      <c r="J162">
        <v>91</v>
      </c>
      <c r="K162">
        <v>10</v>
      </c>
      <c r="L162" t="s">
        <v>142</v>
      </c>
    </row>
    <row r="163" spans="1:12" x14ac:dyDescent="0.3">
      <c r="A163" t="s">
        <v>29</v>
      </c>
      <c r="B163" t="s">
        <v>288</v>
      </c>
      <c r="C163">
        <v>6</v>
      </c>
      <c r="D163" t="s">
        <v>143</v>
      </c>
      <c r="E163" t="s">
        <v>600</v>
      </c>
      <c r="F163" t="s">
        <v>601</v>
      </c>
      <c r="G163" t="s">
        <v>602</v>
      </c>
      <c r="H163" t="s">
        <v>288</v>
      </c>
      <c r="I163">
        <v>180</v>
      </c>
      <c r="J163">
        <v>46</v>
      </c>
      <c r="K163">
        <v>2</v>
      </c>
      <c r="L163" t="s">
        <v>142</v>
      </c>
    </row>
    <row r="164" spans="1:12" x14ac:dyDescent="0.3">
      <c r="A164" t="s">
        <v>29</v>
      </c>
      <c r="B164" t="s">
        <v>288</v>
      </c>
      <c r="C164">
        <v>7</v>
      </c>
      <c r="D164" t="s">
        <v>163</v>
      </c>
      <c r="E164" t="s">
        <v>603</v>
      </c>
      <c r="F164" t="s">
        <v>604</v>
      </c>
      <c r="G164" t="s">
        <v>403</v>
      </c>
      <c r="H164" t="s">
        <v>219</v>
      </c>
      <c r="I164">
        <v>176</v>
      </c>
      <c r="J164">
        <v>54</v>
      </c>
      <c r="K164">
        <v>13</v>
      </c>
      <c r="L164" t="s">
        <v>142</v>
      </c>
    </row>
    <row r="165" spans="1:12" x14ac:dyDescent="0.3">
      <c r="A165" t="s">
        <v>29</v>
      </c>
      <c r="B165" t="s">
        <v>288</v>
      </c>
      <c r="C165">
        <v>8</v>
      </c>
      <c r="D165" t="s">
        <v>158</v>
      </c>
      <c r="E165" t="s">
        <v>605</v>
      </c>
      <c r="F165" t="s">
        <v>606</v>
      </c>
      <c r="G165" t="s">
        <v>607</v>
      </c>
      <c r="H165" t="s">
        <v>194</v>
      </c>
      <c r="I165">
        <v>182</v>
      </c>
      <c r="J165">
        <v>48</v>
      </c>
      <c r="K165">
        <v>3</v>
      </c>
      <c r="L165" t="s">
        <v>142</v>
      </c>
    </row>
    <row r="166" spans="1:12" x14ac:dyDescent="0.3">
      <c r="A166" t="s">
        <v>29</v>
      </c>
      <c r="B166" t="s">
        <v>288</v>
      </c>
      <c r="C166">
        <v>9</v>
      </c>
      <c r="D166" t="s">
        <v>163</v>
      </c>
      <c r="E166" t="s">
        <v>608</v>
      </c>
      <c r="F166" t="s">
        <v>609</v>
      </c>
      <c r="G166" t="s">
        <v>248</v>
      </c>
      <c r="H166" t="s">
        <v>194</v>
      </c>
      <c r="I166">
        <v>183</v>
      </c>
      <c r="J166">
        <v>28</v>
      </c>
      <c r="K166">
        <v>4</v>
      </c>
      <c r="L166" t="s">
        <v>142</v>
      </c>
    </row>
    <row r="167" spans="1:12" x14ac:dyDescent="0.3">
      <c r="A167" t="s">
        <v>29</v>
      </c>
      <c r="B167" t="s">
        <v>288</v>
      </c>
      <c r="C167">
        <v>10</v>
      </c>
      <c r="D167" t="s">
        <v>163</v>
      </c>
      <c r="E167" t="s">
        <v>610</v>
      </c>
      <c r="F167" t="s">
        <v>611</v>
      </c>
      <c r="G167" t="s">
        <v>612</v>
      </c>
      <c r="H167" t="s">
        <v>288</v>
      </c>
      <c r="I167">
        <v>175</v>
      </c>
      <c r="J167">
        <v>130</v>
      </c>
      <c r="K167">
        <v>80</v>
      </c>
      <c r="L167" t="s">
        <v>142</v>
      </c>
    </row>
    <row r="168" spans="1:12" x14ac:dyDescent="0.3">
      <c r="A168" t="s">
        <v>29</v>
      </c>
      <c r="B168" t="s">
        <v>288</v>
      </c>
      <c r="C168">
        <v>11</v>
      </c>
      <c r="D168" t="s">
        <v>163</v>
      </c>
      <c r="E168" t="s">
        <v>613</v>
      </c>
      <c r="F168" t="s">
        <v>614</v>
      </c>
      <c r="G168" t="s">
        <v>615</v>
      </c>
      <c r="H168" t="s">
        <v>219</v>
      </c>
      <c r="I168">
        <v>176</v>
      </c>
      <c r="J168">
        <v>41</v>
      </c>
      <c r="K168">
        <v>11</v>
      </c>
      <c r="L168" t="s">
        <v>142</v>
      </c>
    </row>
    <row r="169" spans="1:12" x14ac:dyDescent="0.3">
      <c r="A169" t="s">
        <v>29</v>
      </c>
      <c r="B169" t="s">
        <v>288</v>
      </c>
      <c r="C169">
        <v>12</v>
      </c>
      <c r="D169" t="s">
        <v>137</v>
      </c>
      <c r="E169" t="s">
        <v>616</v>
      </c>
      <c r="F169" t="s">
        <v>617</v>
      </c>
      <c r="G169" t="s">
        <v>618</v>
      </c>
      <c r="H169" t="s">
        <v>288</v>
      </c>
      <c r="I169">
        <v>189</v>
      </c>
      <c r="J169">
        <v>11</v>
      </c>
      <c r="K169">
        <v>0</v>
      </c>
      <c r="L169" t="s">
        <v>142</v>
      </c>
    </row>
    <row r="170" spans="1:12" x14ac:dyDescent="0.3">
      <c r="A170" t="s">
        <v>29</v>
      </c>
      <c r="B170" t="s">
        <v>288</v>
      </c>
      <c r="C170">
        <v>13</v>
      </c>
      <c r="D170" t="s">
        <v>143</v>
      </c>
      <c r="E170" t="s">
        <v>619</v>
      </c>
      <c r="F170" t="s">
        <v>620</v>
      </c>
      <c r="G170" t="s">
        <v>602</v>
      </c>
      <c r="H170" t="s">
        <v>288</v>
      </c>
      <c r="I170">
        <v>184</v>
      </c>
      <c r="J170">
        <v>75</v>
      </c>
      <c r="K170">
        <v>1</v>
      </c>
      <c r="L170" t="s">
        <v>142</v>
      </c>
    </row>
    <row r="171" spans="1:12" x14ac:dyDescent="0.3">
      <c r="A171" t="s">
        <v>29</v>
      </c>
      <c r="B171" t="s">
        <v>288</v>
      </c>
      <c r="C171">
        <v>14</v>
      </c>
      <c r="D171" t="s">
        <v>143</v>
      </c>
      <c r="E171" t="s">
        <v>621</v>
      </c>
      <c r="F171" t="s">
        <v>622</v>
      </c>
      <c r="G171" t="s">
        <v>623</v>
      </c>
      <c r="H171" t="s">
        <v>200</v>
      </c>
      <c r="I171">
        <v>188</v>
      </c>
      <c r="J171">
        <v>8</v>
      </c>
      <c r="K171">
        <v>1</v>
      </c>
      <c r="L171" t="s">
        <v>142</v>
      </c>
    </row>
    <row r="172" spans="1:12" x14ac:dyDescent="0.3">
      <c r="A172" t="s">
        <v>29</v>
      </c>
      <c r="B172" t="s">
        <v>288</v>
      </c>
      <c r="C172">
        <v>15</v>
      </c>
      <c r="D172" t="s">
        <v>143</v>
      </c>
      <c r="E172" t="s">
        <v>624</v>
      </c>
      <c r="F172" t="s">
        <v>625</v>
      </c>
      <c r="G172" t="s">
        <v>602</v>
      </c>
      <c r="H172" t="s">
        <v>288</v>
      </c>
      <c r="I172">
        <v>189</v>
      </c>
      <c r="J172">
        <v>4</v>
      </c>
      <c r="K172">
        <v>0</v>
      </c>
      <c r="L172" t="s">
        <v>142</v>
      </c>
    </row>
    <row r="173" spans="1:12" x14ac:dyDescent="0.3">
      <c r="A173" t="s">
        <v>29</v>
      </c>
      <c r="B173" t="s">
        <v>288</v>
      </c>
      <c r="C173">
        <v>16</v>
      </c>
      <c r="D173" t="s">
        <v>143</v>
      </c>
      <c r="E173" t="s">
        <v>626</v>
      </c>
      <c r="F173" t="s">
        <v>627</v>
      </c>
      <c r="G173" t="s">
        <v>628</v>
      </c>
      <c r="H173" t="s">
        <v>629</v>
      </c>
      <c r="I173">
        <v>173</v>
      </c>
      <c r="J173">
        <v>12</v>
      </c>
      <c r="K173">
        <v>0</v>
      </c>
      <c r="L173" t="s">
        <v>142</v>
      </c>
    </row>
    <row r="174" spans="1:12" x14ac:dyDescent="0.3">
      <c r="A174" t="s">
        <v>29</v>
      </c>
      <c r="B174" t="s">
        <v>288</v>
      </c>
      <c r="C174">
        <v>17</v>
      </c>
      <c r="D174" t="s">
        <v>158</v>
      </c>
      <c r="E174" t="s">
        <v>630</v>
      </c>
      <c r="F174" t="s">
        <v>631</v>
      </c>
      <c r="G174" t="s">
        <v>170</v>
      </c>
      <c r="H174" t="s">
        <v>167</v>
      </c>
      <c r="I174">
        <v>188</v>
      </c>
      <c r="J174">
        <v>36</v>
      </c>
      <c r="K174">
        <v>0</v>
      </c>
      <c r="L174" t="s">
        <v>142</v>
      </c>
    </row>
    <row r="175" spans="1:12" x14ac:dyDescent="0.3">
      <c r="A175" t="s">
        <v>29</v>
      </c>
      <c r="B175" t="s">
        <v>288</v>
      </c>
      <c r="C175">
        <v>18</v>
      </c>
      <c r="D175" t="s">
        <v>158</v>
      </c>
      <c r="E175" t="s">
        <v>632</v>
      </c>
      <c r="F175" t="s">
        <v>633</v>
      </c>
      <c r="G175" t="s">
        <v>634</v>
      </c>
      <c r="H175" t="s">
        <v>288</v>
      </c>
      <c r="I175">
        <v>177</v>
      </c>
      <c r="J175">
        <v>8</v>
      </c>
      <c r="K175">
        <v>2</v>
      </c>
      <c r="L175" t="s">
        <v>142</v>
      </c>
    </row>
    <row r="176" spans="1:12" x14ac:dyDescent="0.3">
      <c r="A176" t="s">
        <v>29</v>
      </c>
      <c r="B176" t="s">
        <v>288</v>
      </c>
      <c r="C176">
        <v>19</v>
      </c>
      <c r="D176" t="s">
        <v>163</v>
      </c>
      <c r="E176" t="s">
        <v>635</v>
      </c>
      <c r="F176" t="s">
        <v>636</v>
      </c>
      <c r="G176" t="s">
        <v>239</v>
      </c>
      <c r="H176" t="s">
        <v>147</v>
      </c>
      <c r="I176">
        <v>172</v>
      </c>
      <c r="J176">
        <v>21</v>
      </c>
      <c r="K176">
        <v>4</v>
      </c>
      <c r="L176" t="s">
        <v>142</v>
      </c>
    </row>
    <row r="177" spans="1:12" x14ac:dyDescent="0.3">
      <c r="A177" t="s">
        <v>29</v>
      </c>
      <c r="B177" t="s">
        <v>288</v>
      </c>
      <c r="C177">
        <v>20</v>
      </c>
      <c r="D177" t="s">
        <v>158</v>
      </c>
      <c r="E177" t="s">
        <v>637</v>
      </c>
      <c r="F177" t="s">
        <v>638</v>
      </c>
      <c r="G177" t="s">
        <v>602</v>
      </c>
      <c r="H177" t="s">
        <v>288</v>
      </c>
      <c r="I177">
        <v>183</v>
      </c>
      <c r="J177">
        <v>67</v>
      </c>
      <c r="K177">
        <v>13</v>
      </c>
      <c r="L177" t="s">
        <v>142</v>
      </c>
    </row>
    <row r="178" spans="1:12" x14ac:dyDescent="0.3">
      <c r="A178" t="s">
        <v>29</v>
      </c>
      <c r="B178" t="s">
        <v>288</v>
      </c>
      <c r="C178">
        <v>21</v>
      </c>
      <c r="D178" t="s">
        <v>163</v>
      </c>
      <c r="E178" t="s">
        <v>639</v>
      </c>
      <c r="F178" t="s">
        <v>640</v>
      </c>
      <c r="G178" t="s">
        <v>628</v>
      </c>
      <c r="H178" t="s">
        <v>629</v>
      </c>
      <c r="I178">
        <v>182</v>
      </c>
      <c r="J178">
        <v>16</v>
      </c>
      <c r="K178">
        <v>2</v>
      </c>
      <c r="L178" t="s">
        <v>142</v>
      </c>
    </row>
    <row r="179" spans="1:12" x14ac:dyDescent="0.3">
      <c r="A179" t="s">
        <v>29</v>
      </c>
      <c r="B179" t="s">
        <v>288</v>
      </c>
      <c r="C179">
        <v>22</v>
      </c>
      <c r="D179" t="s">
        <v>163</v>
      </c>
      <c r="E179" t="s">
        <v>641</v>
      </c>
      <c r="F179" t="s">
        <v>642</v>
      </c>
      <c r="G179" t="s">
        <v>479</v>
      </c>
      <c r="H179" t="s">
        <v>194</v>
      </c>
      <c r="I179">
        <v>178</v>
      </c>
      <c r="J179">
        <v>27</v>
      </c>
      <c r="K179">
        <v>5</v>
      </c>
      <c r="L179" t="s">
        <v>142</v>
      </c>
    </row>
    <row r="180" spans="1:12" x14ac:dyDescent="0.3">
      <c r="A180" t="s">
        <v>29</v>
      </c>
      <c r="B180" t="s">
        <v>288</v>
      </c>
      <c r="C180">
        <v>23</v>
      </c>
      <c r="D180" t="s">
        <v>137</v>
      </c>
      <c r="E180" t="s">
        <v>643</v>
      </c>
      <c r="F180" t="s">
        <v>644</v>
      </c>
      <c r="G180" t="s">
        <v>645</v>
      </c>
      <c r="H180" t="s">
        <v>523</v>
      </c>
      <c r="I180">
        <v>188</v>
      </c>
      <c r="J180">
        <v>32</v>
      </c>
      <c r="K180">
        <v>0</v>
      </c>
      <c r="L180" t="s">
        <v>142</v>
      </c>
    </row>
    <row r="181" spans="1:12" x14ac:dyDescent="0.3">
      <c r="A181" t="s">
        <v>29</v>
      </c>
      <c r="B181" t="s">
        <v>288</v>
      </c>
      <c r="C181">
        <v>24</v>
      </c>
      <c r="D181" t="s">
        <v>143</v>
      </c>
      <c r="E181" t="s">
        <v>646</v>
      </c>
      <c r="F181" t="s">
        <v>647</v>
      </c>
      <c r="G181" t="s">
        <v>166</v>
      </c>
      <c r="H181" t="s">
        <v>167</v>
      </c>
      <c r="I181">
        <v>186</v>
      </c>
      <c r="J181">
        <v>8</v>
      </c>
      <c r="K181">
        <v>0</v>
      </c>
      <c r="L181" t="s">
        <v>142</v>
      </c>
    </row>
    <row r="182" spans="1:12" x14ac:dyDescent="0.3">
      <c r="A182" t="s">
        <v>29</v>
      </c>
      <c r="B182" t="s">
        <v>288</v>
      </c>
      <c r="C182">
        <v>25</v>
      </c>
      <c r="D182" t="s">
        <v>163</v>
      </c>
      <c r="E182" t="s">
        <v>648</v>
      </c>
      <c r="F182" t="s">
        <v>649</v>
      </c>
      <c r="G182" t="s">
        <v>650</v>
      </c>
      <c r="H182" t="s">
        <v>194</v>
      </c>
      <c r="I182">
        <v>190</v>
      </c>
      <c r="J182">
        <v>5</v>
      </c>
      <c r="K182">
        <v>2</v>
      </c>
      <c r="L182" t="s">
        <v>142</v>
      </c>
    </row>
    <row r="183" spans="1:12" x14ac:dyDescent="0.3">
      <c r="A183" t="s">
        <v>29</v>
      </c>
      <c r="B183" t="s">
        <v>288</v>
      </c>
      <c r="C183">
        <v>26</v>
      </c>
      <c r="D183" t="s">
        <v>163</v>
      </c>
      <c r="E183" t="s">
        <v>651</v>
      </c>
      <c r="F183" t="s">
        <v>652</v>
      </c>
      <c r="G183" t="s">
        <v>236</v>
      </c>
      <c r="H183" t="s">
        <v>194</v>
      </c>
      <c r="I183">
        <v>187</v>
      </c>
      <c r="J183">
        <v>6</v>
      </c>
      <c r="K183">
        <v>1</v>
      </c>
      <c r="L183" t="s">
        <v>142</v>
      </c>
    </row>
    <row r="184" spans="1:12" x14ac:dyDescent="0.3">
      <c r="A184" t="s">
        <v>46</v>
      </c>
      <c r="B184" t="s">
        <v>653</v>
      </c>
      <c r="C184">
        <v>1</v>
      </c>
      <c r="D184" t="s">
        <v>137</v>
      </c>
      <c r="E184" t="s">
        <v>654</v>
      </c>
      <c r="F184" t="s">
        <v>655</v>
      </c>
      <c r="G184" t="s">
        <v>656</v>
      </c>
      <c r="H184" t="s">
        <v>281</v>
      </c>
      <c r="I184">
        <v>189</v>
      </c>
      <c r="J184">
        <v>94</v>
      </c>
      <c r="K184">
        <v>0</v>
      </c>
      <c r="L184" t="s">
        <v>142</v>
      </c>
    </row>
    <row r="185" spans="1:12" x14ac:dyDescent="0.3">
      <c r="A185" t="s">
        <v>46</v>
      </c>
      <c r="B185" t="s">
        <v>653</v>
      </c>
      <c r="C185">
        <v>2</v>
      </c>
      <c r="D185" t="s">
        <v>143</v>
      </c>
      <c r="E185" t="s">
        <v>657</v>
      </c>
      <c r="F185" t="s">
        <v>658</v>
      </c>
      <c r="G185" t="s">
        <v>659</v>
      </c>
      <c r="H185" t="s">
        <v>281</v>
      </c>
      <c r="I185">
        <v>178</v>
      </c>
      <c r="J185">
        <v>61</v>
      </c>
      <c r="K185">
        <v>4</v>
      </c>
      <c r="L185" t="s">
        <v>142</v>
      </c>
    </row>
    <row r="186" spans="1:12" x14ac:dyDescent="0.3">
      <c r="A186" t="s">
        <v>46</v>
      </c>
      <c r="B186" t="s">
        <v>653</v>
      </c>
      <c r="C186">
        <v>3</v>
      </c>
      <c r="D186" t="s">
        <v>143</v>
      </c>
      <c r="E186" t="s">
        <v>660</v>
      </c>
      <c r="F186" t="s">
        <v>661</v>
      </c>
      <c r="G186" t="s">
        <v>662</v>
      </c>
      <c r="H186" t="s">
        <v>663</v>
      </c>
      <c r="I186">
        <v>185</v>
      </c>
      <c r="J186">
        <v>36</v>
      </c>
      <c r="K186">
        <v>2</v>
      </c>
      <c r="L186" t="s">
        <v>142</v>
      </c>
    </row>
    <row r="187" spans="1:12" x14ac:dyDescent="0.3">
      <c r="A187" t="s">
        <v>46</v>
      </c>
      <c r="B187" t="s">
        <v>653</v>
      </c>
      <c r="C187">
        <v>4</v>
      </c>
      <c r="D187" t="s">
        <v>143</v>
      </c>
      <c r="E187" t="s">
        <v>664</v>
      </c>
      <c r="F187" t="s">
        <v>665</v>
      </c>
      <c r="G187" t="s">
        <v>666</v>
      </c>
      <c r="H187" t="s">
        <v>667</v>
      </c>
      <c r="I187">
        <v>186</v>
      </c>
      <c r="J187">
        <v>49</v>
      </c>
      <c r="K187">
        <v>0</v>
      </c>
      <c r="L187" t="s">
        <v>142</v>
      </c>
    </row>
    <row r="188" spans="1:12" x14ac:dyDescent="0.3">
      <c r="A188" t="s">
        <v>46</v>
      </c>
      <c r="B188" t="s">
        <v>653</v>
      </c>
      <c r="C188">
        <v>5</v>
      </c>
      <c r="D188" t="s">
        <v>143</v>
      </c>
      <c r="E188" t="s">
        <v>668</v>
      </c>
      <c r="F188" t="s">
        <v>669</v>
      </c>
      <c r="G188" t="s">
        <v>670</v>
      </c>
      <c r="H188" t="s">
        <v>219</v>
      </c>
      <c r="I188">
        <v>190</v>
      </c>
      <c r="J188">
        <v>28</v>
      </c>
      <c r="K188">
        <v>0</v>
      </c>
      <c r="L188" t="s">
        <v>142</v>
      </c>
    </row>
    <row r="189" spans="1:12" x14ac:dyDescent="0.3">
      <c r="A189" t="s">
        <v>46</v>
      </c>
      <c r="B189" t="s">
        <v>653</v>
      </c>
      <c r="C189">
        <v>6</v>
      </c>
      <c r="D189" t="s">
        <v>158</v>
      </c>
      <c r="E189" t="s">
        <v>671</v>
      </c>
      <c r="F189" t="s">
        <v>672</v>
      </c>
      <c r="G189" t="s">
        <v>673</v>
      </c>
      <c r="H189" t="s">
        <v>629</v>
      </c>
      <c r="I189">
        <v>177</v>
      </c>
      <c r="J189">
        <v>35</v>
      </c>
      <c r="K189">
        <v>4</v>
      </c>
      <c r="L189" t="s">
        <v>142</v>
      </c>
    </row>
    <row r="190" spans="1:12" x14ac:dyDescent="0.3">
      <c r="A190" t="s">
        <v>46</v>
      </c>
      <c r="B190" t="s">
        <v>653</v>
      </c>
      <c r="C190">
        <v>7</v>
      </c>
      <c r="D190" t="s">
        <v>158</v>
      </c>
      <c r="E190" t="s">
        <v>674</v>
      </c>
      <c r="F190" t="s">
        <v>675</v>
      </c>
      <c r="G190" t="s">
        <v>676</v>
      </c>
      <c r="H190" t="s">
        <v>281</v>
      </c>
      <c r="I190">
        <v>174</v>
      </c>
      <c r="J190">
        <v>31</v>
      </c>
      <c r="K190">
        <v>3</v>
      </c>
      <c r="L190" t="s">
        <v>142</v>
      </c>
    </row>
    <row r="191" spans="1:12" x14ac:dyDescent="0.3">
      <c r="A191" t="s">
        <v>46</v>
      </c>
      <c r="B191" t="s">
        <v>653</v>
      </c>
      <c r="C191">
        <v>8</v>
      </c>
      <c r="D191" t="s">
        <v>158</v>
      </c>
      <c r="E191" t="s">
        <v>677</v>
      </c>
      <c r="F191" t="s">
        <v>160</v>
      </c>
      <c r="G191" t="s">
        <v>678</v>
      </c>
      <c r="H191" t="s">
        <v>585</v>
      </c>
      <c r="I191">
        <v>180</v>
      </c>
      <c r="J191">
        <v>43</v>
      </c>
      <c r="K191">
        <v>1</v>
      </c>
      <c r="L191" t="s">
        <v>142</v>
      </c>
    </row>
    <row r="192" spans="1:12" x14ac:dyDescent="0.3">
      <c r="A192" t="s">
        <v>46</v>
      </c>
      <c r="B192" t="s">
        <v>653</v>
      </c>
      <c r="C192">
        <v>9</v>
      </c>
      <c r="D192" t="s">
        <v>163</v>
      </c>
      <c r="E192" t="s">
        <v>679</v>
      </c>
      <c r="F192" t="s">
        <v>680</v>
      </c>
      <c r="G192" t="s">
        <v>681</v>
      </c>
      <c r="H192" t="s">
        <v>629</v>
      </c>
      <c r="I192">
        <v>187</v>
      </c>
      <c r="J192">
        <v>23</v>
      </c>
      <c r="K192">
        <v>6</v>
      </c>
      <c r="L192" t="s">
        <v>142</v>
      </c>
    </row>
    <row r="193" spans="1:12" x14ac:dyDescent="0.3">
      <c r="A193" t="s">
        <v>46</v>
      </c>
      <c r="B193" t="s">
        <v>653</v>
      </c>
      <c r="C193">
        <v>10</v>
      </c>
      <c r="D193" t="s">
        <v>158</v>
      </c>
      <c r="E193" t="s">
        <v>682</v>
      </c>
      <c r="F193" t="s">
        <v>683</v>
      </c>
      <c r="G193" t="s">
        <v>684</v>
      </c>
      <c r="H193" t="s">
        <v>162</v>
      </c>
      <c r="I193">
        <v>175</v>
      </c>
      <c r="J193">
        <v>59</v>
      </c>
      <c r="K193">
        <v>5</v>
      </c>
      <c r="L193" t="s">
        <v>142</v>
      </c>
    </row>
    <row r="194" spans="1:12" x14ac:dyDescent="0.3">
      <c r="A194" t="s">
        <v>46</v>
      </c>
      <c r="B194" t="s">
        <v>653</v>
      </c>
      <c r="C194">
        <v>11</v>
      </c>
      <c r="D194" t="s">
        <v>158</v>
      </c>
      <c r="E194" t="s">
        <v>685</v>
      </c>
      <c r="F194" t="s">
        <v>686</v>
      </c>
      <c r="G194" t="s">
        <v>687</v>
      </c>
      <c r="H194" t="s">
        <v>308</v>
      </c>
      <c r="I194">
        <v>173</v>
      </c>
      <c r="J194">
        <v>63</v>
      </c>
      <c r="K194">
        <v>10</v>
      </c>
      <c r="L194" t="s">
        <v>142</v>
      </c>
    </row>
    <row r="195" spans="1:12" x14ac:dyDescent="0.3">
      <c r="A195" t="s">
        <v>46</v>
      </c>
      <c r="B195" t="s">
        <v>653</v>
      </c>
      <c r="C195">
        <v>12</v>
      </c>
      <c r="D195" t="s">
        <v>137</v>
      </c>
      <c r="E195" t="s">
        <v>688</v>
      </c>
      <c r="F195" t="s">
        <v>689</v>
      </c>
      <c r="G195" t="s">
        <v>690</v>
      </c>
      <c r="H195" t="s">
        <v>691</v>
      </c>
      <c r="I195">
        <v>186</v>
      </c>
      <c r="J195">
        <v>11</v>
      </c>
      <c r="K195">
        <v>0</v>
      </c>
      <c r="L195" t="s">
        <v>142</v>
      </c>
    </row>
    <row r="196" spans="1:12" x14ac:dyDescent="0.3">
      <c r="A196" t="s">
        <v>46</v>
      </c>
      <c r="B196" t="s">
        <v>653</v>
      </c>
      <c r="C196">
        <v>13</v>
      </c>
      <c r="D196" t="s">
        <v>143</v>
      </c>
      <c r="E196" t="s">
        <v>692</v>
      </c>
      <c r="F196" t="s">
        <v>693</v>
      </c>
      <c r="G196" t="s">
        <v>280</v>
      </c>
      <c r="H196" t="s">
        <v>281</v>
      </c>
      <c r="I196">
        <v>176</v>
      </c>
      <c r="J196">
        <v>14</v>
      </c>
      <c r="K196">
        <v>4</v>
      </c>
      <c r="L196" t="s">
        <v>142</v>
      </c>
    </row>
    <row r="197" spans="1:12" x14ac:dyDescent="0.3">
      <c r="A197" t="s">
        <v>46</v>
      </c>
      <c r="B197" t="s">
        <v>653</v>
      </c>
      <c r="C197">
        <v>14</v>
      </c>
      <c r="D197" t="s">
        <v>158</v>
      </c>
      <c r="E197" t="s">
        <v>694</v>
      </c>
      <c r="F197" t="s">
        <v>695</v>
      </c>
      <c r="G197" t="s">
        <v>696</v>
      </c>
      <c r="H197" t="s">
        <v>691</v>
      </c>
      <c r="I197">
        <v>177</v>
      </c>
      <c r="J197">
        <v>37</v>
      </c>
      <c r="K197">
        <v>1</v>
      </c>
      <c r="L197" t="s">
        <v>142</v>
      </c>
    </row>
    <row r="198" spans="1:12" x14ac:dyDescent="0.3">
      <c r="A198" t="s">
        <v>46</v>
      </c>
      <c r="B198" t="s">
        <v>653</v>
      </c>
      <c r="C198">
        <v>15</v>
      </c>
      <c r="D198" t="s">
        <v>158</v>
      </c>
      <c r="E198" t="s">
        <v>697</v>
      </c>
      <c r="F198" t="s">
        <v>698</v>
      </c>
      <c r="G198" t="s">
        <v>699</v>
      </c>
      <c r="H198" t="s">
        <v>184</v>
      </c>
      <c r="I198">
        <v>180</v>
      </c>
      <c r="J198">
        <v>24</v>
      </c>
      <c r="K198">
        <v>1</v>
      </c>
      <c r="L198" t="s">
        <v>142</v>
      </c>
    </row>
    <row r="199" spans="1:12" x14ac:dyDescent="0.3">
      <c r="A199" t="s">
        <v>46</v>
      </c>
      <c r="B199" t="s">
        <v>653</v>
      </c>
      <c r="C199">
        <v>16</v>
      </c>
      <c r="D199" t="s">
        <v>158</v>
      </c>
      <c r="E199" t="s">
        <v>700</v>
      </c>
      <c r="F199" t="s">
        <v>701</v>
      </c>
      <c r="G199" t="s">
        <v>702</v>
      </c>
      <c r="H199" t="s">
        <v>281</v>
      </c>
      <c r="I199">
        <v>176</v>
      </c>
      <c r="J199">
        <v>13</v>
      </c>
      <c r="K199">
        <v>1</v>
      </c>
      <c r="L199" t="s">
        <v>142</v>
      </c>
    </row>
    <row r="200" spans="1:12" x14ac:dyDescent="0.3">
      <c r="A200" t="s">
        <v>46</v>
      </c>
      <c r="B200" t="s">
        <v>653</v>
      </c>
      <c r="C200">
        <v>17</v>
      </c>
      <c r="D200" t="s">
        <v>158</v>
      </c>
      <c r="E200" t="s">
        <v>703</v>
      </c>
      <c r="F200" t="s">
        <v>704</v>
      </c>
      <c r="G200" t="s">
        <v>705</v>
      </c>
      <c r="H200" t="s">
        <v>308</v>
      </c>
      <c r="I200">
        <v>185</v>
      </c>
      <c r="J200">
        <v>41</v>
      </c>
      <c r="K200">
        <v>3</v>
      </c>
      <c r="L200" t="s">
        <v>142</v>
      </c>
    </row>
    <row r="201" spans="1:12" x14ac:dyDescent="0.3">
      <c r="A201" t="s">
        <v>46</v>
      </c>
      <c r="B201" t="s">
        <v>653</v>
      </c>
      <c r="C201">
        <v>18</v>
      </c>
      <c r="D201" t="s">
        <v>158</v>
      </c>
      <c r="E201" t="s">
        <v>706</v>
      </c>
      <c r="F201" t="s">
        <v>707</v>
      </c>
      <c r="G201" t="s">
        <v>708</v>
      </c>
      <c r="H201" t="s">
        <v>281</v>
      </c>
      <c r="I201">
        <v>180</v>
      </c>
      <c r="J201">
        <v>18</v>
      </c>
      <c r="K201">
        <v>1</v>
      </c>
      <c r="L201" t="s">
        <v>142</v>
      </c>
    </row>
    <row r="202" spans="1:12" x14ac:dyDescent="0.3">
      <c r="A202" t="s">
        <v>46</v>
      </c>
      <c r="B202" t="s">
        <v>653</v>
      </c>
      <c r="C202">
        <v>19</v>
      </c>
      <c r="D202" t="s">
        <v>163</v>
      </c>
      <c r="E202" t="s">
        <v>709</v>
      </c>
      <c r="F202" t="s">
        <v>396</v>
      </c>
      <c r="G202" t="s">
        <v>710</v>
      </c>
      <c r="H202" t="s">
        <v>281</v>
      </c>
      <c r="I202">
        <v>185</v>
      </c>
      <c r="J202">
        <v>25</v>
      </c>
      <c r="K202">
        <v>7</v>
      </c>
      <c r="L202" t="s">
        <v>142</v>
      </c>
    </row>
    <row r="203" spans="1:12" x14ac:dyDescent="0.3">
      <c r="A203" t="s">
        <v>46</v>
      </c>
      <c r="B203" t="s">
        <v>653</v>
      </c>
      <c r="C203">
        <v>20</v>
      </c>
      <c r="D203" t="s">
        <v>163</v>
      </c>
      <c r="E203" t="s">
        <v>711</v>
      </c>
      <c r="F203" t="s">
        <v>712</v>
      </c>
      <c r="G203" t="s">
        <v>713</v>
      </c>
      <c r="H203" t="s">
        <v>523</v>
      </c>
      <c r="I203">
        <v>178</v>
      </c>
      <c r="J203">
        <v>102</v>
      </c>
      <c r="K203">
        <v>22</v>
      </c>
      <c r="L203" t="s">
        <v>142</v>
      </c>
    </row>
    <row r="204" spans="1:12" x14ac:dyDescent="0.3">
      <c r="A204" t="s">
        <v>46</v>
      </c>
      <c r="B204" t="s">
        <v>653</v>
      </c>
      <c r="C204">
        <v>21</v>
      </c>
      <c r="D204" t="s">
        <v>158</v>
      </c>
      <c r="E204" t="s">
        <v>714</v>
      </c>
      <c r="F204" t="s">
        <v>715</v>
      </c>
      <c r="G204" t="s">
        <v>716</v>
      </c>
      <c r="H204" t="s">
        <v>523</v>
      </c>
      <c r="I204">
        <v>182</v>
      </c>
      <c r="J204">
        <v>13</v>
      </c>
      <c r="K204">
        <v>2</v>
      </c>
      <c r="L204" t="s">
        <v>142</v>
      </c>
    </row>
    <row r="205" spans="1:12" x14ac:dyDescent="0.3">
      <c r="A205" t="s">
        <v>46</v>
      </c>
      <c r="B205" t="s">
        <v>653</v>
      </c>
      <c r="C205">
        <v>22</v>
      </c>
      <c r="D205" t="s">
        <v>143</v>
      </c>
      <c r="E205" t="s">
        <v>717</v>
      </c>
      <c r="F205" t="s">
        <v>718</v>
      </c>
      <c r="G205" t="s">
        <v>719</v>
      </c>
      <c r="H205" t="s">
        <v>25</v>
      </c>
      <c r="I205">
        <v>178</v>
      </c>
      <c r="J205">
        <v>24</v>
      </c>
      <c r="K205">
        <v>0</v>
      </c>
      <c r="L205" t="s">
        <v>142</v>
      </c>
    </row>
    <row r="206" spans="1:12" x14ac:dyDescent="0.3">
      <c r="A206" t="s">
        <v>46</v>
      </c>
      <c r="B206" t="s">
        <v>653</v>
      </c>
      <c r="C206">
        <v>23</v>
      </c>
      <c r="D206" t="s">
        <v>137</v>
      </c>
      <c r="E206" t="s">
        <v>720</v>
      </c>
      <c r="F206" t="s">
        <v>721</v>
      </c>
      <c r="G206" t="s">
        <v>722</v>
      </c>
      <c r="H206" t="s">
        <v>25</v>
      </c>
      <c r="I206">
        <v>189</v>
      </c>
      <c r="J206">
        <v>1</v>
      </c>
      <c r="K206">
        <v>0</v>
      </c>
      <c r="L206" t="s">
        <v>142</v>
      </c>
    </row>
    <row r="207" spans="1:12" x14ac:dyDescent="0.3">
      <c r="A207" t="s">
        <v>46</v>
      </c>
      <c r="B207" t="s">
        <v>653</v>
      </c>
      <c r="C207">
        <v>24</v>
      </c>
      <c r="D207" t="s">
        <v>143</v>
      </c>
      <c r="E207" t="s">
        <v>723</v>
      </c>
      <c r="F207" t="s">
        <v>724</v>
      </c>
      <c r="G207" t="s">
        <v>725</v>
      </c>
      <c r="H207" t="s">
        <v>523</v>
      </c>
      <c r="I207">
        <v>180</v>
      </c>
      <c r="J207">
        <v>15</v>
      </c>
      <c r="K207">
        <v>0</v>
      </c>
      <c r="L207" t="s">
        <v>142</v>
      </c>
    </row>
    <row r="208" spans="1:12" x14ac:dyDescent="0.3">
      <c r="A208" t="s">
        <v>46</v>
      </c>
      <c r="B208" t="s">
        <v>653</v>
      </c>
      <c r="C208">
        <v>25</v>
      </c>
      <c r="D208" t="s">
        <v>143</v>
      </c>
      <c r="E208" t="s">
        <v>726</v>
      </c>
      <c r="F208" t="s">
        <v>727</v>
      </c>
      <c r="G208" t="s">
        <v>728</v>
      </c>
      <c r="H208" t="s">
        <v>729</v>
      </c>
      <c r="I208">
        <v>193</v>
      </c>
      <c r="J208">
        <v>6</v>
      </c>
      <c r="K208">
        <v>1</v>
      </c>
      <c r="L208" t="s">
        <v>142</v>
      </c>
    </row>
    <row r="209" spans="1:12" x14ac:dyDescent="0.3">
      <c r="A209" t="s">
        <v>46</v>
      </c>
      <c r="B209" t="s">
        <v>653</v>
      </c>
      <c r="C209">
        <v>26</v>
      </c>
      <c r="D209" t="s">
        <v>158</v>
      </c>
      <c r="E209" t="s">
        <v>730</v>
      </c>
      <c r="F209" t="s">
        <v>731</v>
      </c>
      <c r="G209" t="s">
        <v>732</v>
      </c>
      <c r="H209" t="s">
        <v>733</v>
      </c>
      <c r="I209">
        <v>176</v>
      </c>
      <c r="J209">
        <v>24</v>
      </c>
      <c r="K209">
        <v>1</v>
      </c>
      <c r="L209" t="s">
        <v>142</v>
      </c>
    </row>
    <row r="210" spans="1:12" x14ac:dyDescent="0.3">
      <c r="A210" t="s">
        <v>22</v>
      </c>
      <c r="B210" t="s">
        <v>734</v>
      </c>
      <c r="C210">
        <v>1</v>
      </c>
      <c r="D210" t="s">
        <v>137</v>
      </c>
      <c r="E210" t="s">
        <v>735</v>
      </c>
      <c r="F210" t="s">
        <v>736</v>
      </c>
      <c r="G210" t="s">
        <v>251</v>
      </c>
      <c r="H210" t="s">
        <v>25</v>
      </c>
      <c r="I210">
        <v>191</v>
      </c>
      <c r="J210">
        <v>20</v>
      </c>
      <c r="K210">
        <v>0</v>
      </c>
      <c r="L210" t="s">
        <v>142</v>
      </c>
    </row>
    <row r="211" spans="1:12" x14ac:dyDescent="0.3">
      <c r="A211" t="s">
        <v>22</v>
      </c>
      <c r="B211" t="s">
        <v>734</v>
      </c>
      <c r="C211">
        <v>2</v>
      </c>
      <c r="D211" t="s">
        <v>143</v>
      </c>
      <c r="E211" t="s">
        <v>737</v>
      </c>
      <c r="F211" t="s">
        <v>738</v>
      </c>
      <c r="G211" t="s">
        <v>739</v>
      </c>
      <c r="H211" t="s">
        <v>347</v>
      </c>
      <c r="I211">
        <v>180</v>
      </c>
      <c r="J211">
        <v>63</v>
      </c>
      <c r="K211">
        <v>1</v>
      </c>
      <c r="L211" t="s">
        <v>142</v>
      </c>
    </row>
    <row r="212" spans="1:12" x14ac:dyDescent="0.3">
      <c r="A212" t="s">
        <v>22</v>
      </c>
      <c r="B212" t="s">
        <v>734</v>
      </c>
      <c r="C212">
        <v>3</v>
      </c>
      <c r="D212" t="s">
        <v>143</v>
      </c>
      <c r="E212" t="s">
        <v>740</v>
      </c>
      <c r="F212" t="s">
        <v>741</v>
      </c>
      <c r="G212" t="s">
        <v>742</v>
      </c>
      <c r="H212" t="s">
        <v>194</v>
      </c>
      <c r="I212">
        <v>191</v>
      </c>
      <c r="J212">
        <v>2</v>
      </c>
      <c r="K212">
        <v>0</v>
      </c>
      <c r="L212" t="s">
        <v>142</v>
      </c>
    </row>
    <row r="213" spans="1:12" x14ac:dyDescent="0.3">
      <c r="A213" t="s">
        <v>22</v>
      </c>
      <c r="B213" t="s">
        <v>734</v>
      </c>
      <c r="C213">
        <v>4</v>
      </c>
      <c r="D213" t="s">
        <v>143</v>
      </c>
      <c r="E213" t="s">
        <v>743</v>
      </c>
      <c r="F213" t="s">
        <v>744</v>
      </c>
      <c r="G213" t="s">
        <v>745</v>
      </c>
      <c r="H213" t="s">
        <v>223</v>
      </c>
      <c r="I213">
        <v>183</v>
      </c>
      <c r="J213">
        <v>18</v>
      </c>
      <c r="K213">
        <v>0</v>
      </c>
      <c r="L213" t="s">
        <v>142</v>
      </c>
    </row>
    <row r="214" spans="1:12" x14ac:dyDescent="0.3">
      <c r="A214" t="s">
        <v>22</v>
      </c>
      <c r="B214" t="s">
        <v>734</v>
      </c>
      <c r="C214">
        <v>5</v>
      </c>
      <c r="D214" t="s">
        <v>143</v>
      </c>
      <c r="E214" t="s">
        <v>746</v>
      </c>
      <c r="F214" t="s">
        <v>747</v>
      </c>
      <c r="G214" t="s">
        <v>748</v>
      </c>
      <c r="H214" t="s">
        <v>25</v>
      </c>
      <c r="I214">
        <v>185</v>
      </c>
      <c r="J214">
        <v>17</v>
      </c>
      <c r="K214">
        <v>0</v>
      </c>
      <c r="L214" t="s">
        <v>142</v>
      </c>
    </row>
    <row r="215" spans="1:12" x14ac:dyDescent="0.3">
      <c r="A215" t="s">
        <v>22</v>
      </c>
      <c r="B215" t="s">
        <v>734</v>
      </c>
      <c r="C215">
        <v>6</v>
      </c>
      <c r="D215" t="s">
        <v>158</v>
      </c>
      <c r="E215" t="s">
        <v>749</v>
      </c>
      <c r="F215" t="s">
        <v>750</v>
      </c>
      <c r="G215" t="s">
        <v>751</v>
      </c>
      <c r="H215" t="s">
        <v>25</v>
      </c>
      <c r="I215">
        <v>173</v>
      </c>
      <c r="J215">
        <v>25</v>
      </c>
      <c r="K215">
        <v>0</v>
      </c>
      <c r="L215" t="s">
        <v>142</v>
      </c>
    </row>
    <row r="216" spans="1:12" x14ac:dyDescent="0.3">
      <c r="A216" t="s">
        <v>22</v>
      </c>
      <c r="B216" t="s">
        <v>734</v>
      </c>
      <c r="C216">
        <v>7</v>
      </c>
      <c r="D216" t="s">
        <v>158</v>
      </c>
      <c r="E216" t="s">
        <v>752</v>
      </c>
      <c r="F216" t="s">
        <v>753</v>
      </c>
      <c r="G216" t="s">
        <v>751</v>
      </c>
      <c r="H216" t="s">
        <v>25</v>
      </c>
      <c r="I216">
        <v>175</v>
      </c>
      <c r="J216">
        <v>61</v>
      </c>
      <c r="K216">
        <v>5</v>
      </c>
      <c r="L216" t="s">
        <v>142</v>
      </c>
    </row>
    <row r="217" spans="1:12" x14ac:dyDescent="0.3">
      <c r="A217" t="s">
        <v>22</v>
      </c>
      <c r="B217" t="s">
        <v>734</v>
      </c>
      <c r="C217">
        <v>8</v>
      </c>
      <c r="D217" t="s">
        <v>158</v>
      </c>
      <c r="E217" t="s">
        <v>754</v>
      </c>
      <c r="F217" t="s">
        <v>755</v>
      </c>
      <c r="G217" t="s">
        <v>362</v>
      </c>
      <c r="H217" t="s">
        <v>200</v>
      </c>
      <c r="I217">
        <v>188</v>
      </c>
      <c r="J217">
        <v>42</v>
      </c>
      <c r="K217">
        <v>4</v>
      </c>
      <c r="L217" t="s">
        <v>142</v>
      </c>
    </row>
    <row r="218" spans="1:12" x14ac:dyDescent="0.3">
      <c r="A218" t="s">
        <v>22</v>
      </c>
      <c r="B218" t="s">
        <v>734</v>
      </c>
      <c r="C218">
        <v>9</v>
      </c>
      <c r="D218" t="s">
        <v>163</v>
      </c>
      <c r="E218" t="s">
        <v>756</v>
      </c>
      <c r="F218" t="s">
        <v>757</v>
      </c>
      <c r="G218" t="s">
        <v>758</v>
      </c>
      <c r="H218" t="s">
        <v>194</v>
      </c>
      <c r="I218">
        <v>188</v>
      </c>
      <c r="J218">
        <v>94</v>
      </c>
      <c r="K218">
        <v>32</v>
      </c>
      <c r="L218" t="s">
        <v>142</v>
      </c>
    </row>
    <row r="219" spans="1:12" x14ac:dyDescent="0.3">
      <c r="A219" t="s">
        <v>22</v>
      </c>
      <c r="B219" t="s">
        <v>734</v>
      </c>
      <c r="C219">
        <v>10</v>
      </c>
      <c r="D219" t="s">
        <v>163</v>
      </c>
      <c r="E219" t="s">
        <v>759</v>
      </c>
      <c r="F219" t="s">
        <v>760</v>
      </c>
      <c r="G219" t="s">
        <v>623</v>
      </c>
      <c r="H219" t="s">
        <v>200</v>
      </c>
      <c r="I219">
        <v>175</v>
      </c>
      <c r="J219">
        <v>82</v>
      </c>
      <c r="K219">
        <v>42</v>
      </c>
      <c r="L219" t="s">
        <v>142</v>
      </c>
    </row>
    <row r="220" spans="1:12" x14ac:dyDescent="0.3">
      <c r="A220" t="s">
        <v>22</v>
      </c>
      <c r="B220" t="s">
        <v>734</v>
      </c>
      <c r="C220">
        <v>11</v>
      </c>
      <c r="D220" t="s">
        <v>158</v>
      </c>
      <c r="E220" t="s">
        <v>761</v>
      </c>
      <c r="F220" t="s">
        <v>762</v>
      </c>
      <c r="G220" t="s">
        <v>560</v>
      </c>
      <c r="H220" t="s">
        <v>194</v>
      </c>
      <c r="I220">
        <v>176</v>
      </c>
      <c r="J220">
        <v>44</v>
      </c>
      <c r="K220">
        <v>1</v>
      </c>
      <c r="L220" t="s">
        <v>142</v>
      </c>
    </row>
    <row r="221" spans="1:12" x14ac:dyDescent="0.3">
      <c r="A221" t="s">
        <v>22</v>
      </c>
      <c r="B221" t="s">
        <v>734</v>
      </c>
      <c r="C221">
        <v>12</v>
      </c>
      <c r="D221" t="s">
        <v>163</v>
      </c>
      <c r="E221" t="s">
        <v>763</v>
      </c>
      <c r="F221" t="s">
        <v>764</v>
      </c>
      <c r="G221" t="s">
        <v>670</v>
      </c>
      <c r="H221" t="s">
        <v>219</v>
      </c>
      <c r="I221">
        <v>187</v>
      </c>
      <c r="J221">
        <v>29</v>
      </c>
      <c r="K221">
        <v>2</v>
      </c>
      <c r="L221" t="s">
        <v>142</v>
      </c>
    </row>
    <row r="222" spans="1:12" x14ac:dyDescent="0.3">
      <c r="A222" t="s">
        <v>22</v>
      </c>
      <c r="B222" t="s">
        <v>734</v>
      </c>
      <c r="C222">
        <v>13</v>
      </c>
      <c r="D222" t="s">
        <v>143</v>
      </c>
      <c r="E222" t="s">
        <v>765</v>
      </c>
      <c r="F222" t="s">
        <v>766</v>
      </c>
      <c r="G222" t="s">
        <v>509</v>
      </c>
      <c r="H222" t="s">
        <v>347</v>
      </c>
      <c r="I222">
        <v>186</v>
      </c>
      <c r="J222">
        <v>48</v>
      </c>
      <c r="K222">
        <v>1</v>
      </c>
      <c r="L222" t="s">
        <v>142</v>
      </c>
    </row>
    <row r="223" spans="1:12" x14ac:dyDescent="0.3">
      <c r="A223" t="s">
        <v>22</v>
      </c>
      <c r="B223" t="s">
        <v>734</v>
      </c>
      <c r="C223">
        <v>14</v>
      </c>
      <c r="D223" t="s">
        <v>158</v>
      </c>
      <c r="E223" t="s">
        <v>767</v>
      </c>
      <c r="F223" t="s">
        <v>768</v>
      </c>
      <c r="G223" t="s">
        <v>751</v>
      </c>
      <c r="H223" t="s">
        <v>25</v>
      </c>
      <c r="I223">
        <v>181</v>
      </c>
      <c r="J223">
        <v>36</v>
      </c>
      <c r="K223">
        <v>6</v>
      </c>
      <c r="L223" t="s">
        <v>142</v>
      </c>
    </row>
    <row r="224" spans="1:12" x14ac:dyDescent="0.3">
      <c r="A224" t="s">
        <v>22</v>
      </c>
      <c r="B224" t="s">
        <v>734</v>
      </c>
      <c r="C224">
        <v>15</v>
      </c>
      <c r="D224" t="s">
        <v>143</v>
      </c>
      <c r="E224" t="s">
        <v>769</v>
      </c>
      <c r="F224" t="s">
        <v>770</v>
      </c>
      <c r="G224" t="s">
        <v>190</v>
      </c>
      <c r="H224" t="s">
        <v>147</v>
      </c>
      <c r="I224">
        <v>190</v>
      </c>
      <c r="J224">
        <v>23</v>
      </c>
      <c r="K224">
        <v>0</v>
      </c>
      <c r="L224" t="s">
        <v>142</v>
      </c>
    </row>
    <row r="225" spans="1:12" x14ac:dyDescent="0.3">
      <c r="A225" t="s">
        <v>22</v>
      </c>
      <c r="B225" t="s">
        <v>734</v>
      </c>
      <c r="C225">
        <v>16</v>
      </c>
      <c r="D225" t="s">
        <v>137</v>
      </c>
      <c r="E225" t="s">
        <v>771</v>
      </c>
      <c r="F225" t="s">
        <v>772</v>
      </c>
      <c r="G225" t="s">
        <v>773</v>
      </c>
      <c r="H225" t="s">
        <v>25</v>
      </c>
      <c r="I225">
        <v>185</v>
      </c>
      <c r="J225">
        <v>37</v>
      </c>
      <c r="K225">
        <v>0</v>
      </c>
      <c r="L225" t="s">
        <v>142</v>
      </c>
    </row>
    <row r="226" spans="1:12" x14ac:dyDescent="0.3">
      <c r="A226" t="s">
        <v>22</v>
      </c>
      <c r="B226" t="s">
        <v>734</v>
      </c>
      <c r="C226">
        <v>17</v>
      </c>
      <c r="D226" t="s">
        <v>163</v>
      </c>
      <c r="E226" t="s">
        <v>774</v>
      </c>
      <c r="F226" t="s">
        <v>775</v>
      </c>
      <c r="G226" t="s">
        <v>670</v>
      </c>
      <c r="H226" t="s">
        <v>219</v>
      </c>
      <c r="I226">
        <v>183</v>
      </c>
      <c r="J226">
        <v>65</v>
      </c>
      <c r="K226">
        <v>8</v>
      </c>
      <c r="L226" t="s">
        <v>142</v>
      </c>
    </row>
    <row r="227" spans="1:12" x14ac:dyDescent="0.3">
      <c r="A227" t="s">
        <v>22</v>
      </c>
      <c r="B227" t="s">
        <v>734</v>
      </c>
      <c r="C227">
        <v>18</v>
      </c>
      <c r="D227" t="s">
        <v>137</v>
      </c>
      <c r="E227" t="s">
        <v>776</v>
      </c>
      <c r="F227" t="s">
        <v>777</v>
      </c>
      <c r="G227" t="s">
        <v>778</v>
      </c>
      <c r="H227" t="s">
        <v>194</v>
      </c>
      <c r="I227">
        <v>193</v>
      </c>
      <c r="J227">
        <v>0</v>
      </c>
      <c r="K227">
        <v>0</v>
      </c>
      <c r="L227" t="s">
        <v>142</v>
      </c>
    </row>
    <row r="228" spans="1:12" x14ac:dyDescent="0.3">
      <c r="A228" t="s">
        <v>22</v>
      </c>
      <c r="B228" t="s">
        <v>734</v>
      </c>
      <c r="C228">
        <v>19</v>
      </c>
      <c r="D228" t="s">
        <v>143</v>
      </c>
      <c r="E228" t="s">
        <v>779</v>
      </c>
      <c r="F228" t="s">
        <v>780</v>
      </c>
      <c r="G228" t="s">
        <v>437</v>
      </c>
      <c r="H228" t="s">
        <v>177</v>
      </c>
      <c r="I228">
        <v>183</v>
      </c>
      <c r="J228">
        <v>59</v>
      </c>
      <c r="K228">
        <v>15</v>
      </c>
      <c r="L228" t="s">
        <v>142</v>
      </c>
    </row>
    <row r="229" spans="1:12" x14ac:dyDescent="0.3">
      <c r="A229" t="s">
        <v>22</v>
      </c>
      <c r="B229" t="s">
        <v>734</v>
      </c>
      <c r="C229">
        <v>20</v>
      </c>
      <c r="D229" t="s">
        <v>163</v>
      </c>
      <c r="E229" t="s">
        <v>781</v>
      </c>
      <c r="F229" t="s">
        <v>782</v>
      </c>
      <c r="G229" t="s">
        <v>330</v>
      </c>
      <c r="H229" t="s">
        <v>194</v>
      </c>
      <c r="I229">
        <v>180</v>
      </c>
      <c r="J229">
        <v>28</v>
      </c>
      <c r="K229">
        <v>1</v>
      </c>
      <c r="L229" t="s">
        <v>142</v>
      </c>
    </row>
    <row r="230" spans="1:12" x14ac:dyDescent="0.3">
      <c r="A230" t="s">
        <v>22</v>
      </c>
      <c r="B230" t="s">
        <v>734</v>
      </c>
      <c r="C230">
        <v>21</v>
      </c>
      <c r="D230" t="s">
        <v>158</v>
      </c>
      <c r="E230" t="s">
        <v>783</v>
      </c>
      <c r="F230" t="s">
        <v>784</v>
      </c>
      <c r="G230" t="s">
        <v>785</v>
      </c>
      <c r="H230" t="s">
        <v>734</v>
      </c>
      <c r="I230">
        <v>175</v>
      </c>
      <c r="J230">
        <v>93</v>
      </c>
      <c r="K230">
        <v>10</v>
      </c>
      <c r="L230" t="s">
        <v>142</v>
      </c>
    </row>
    <row r="231" spans="1:12" x14ac:dyDescent="0.3">
      <c r="A231" t="s">
        <v>22</v>
      </c>
      <c r="B231" t="s">
        <v>734</v>
      </c>
      <c r="C231">
        <v>22</v>
      </c>
      <c r="D231" t="s">
        <v>143</v>
      </c>
      <c r="E231" t="s">
        <v>786</v>
      </c>
      <c r="F231" t="s">
        <v>787</v>
      </c>
      <c r="G231" t="s">
        <v>785</v>
      </c>
      <c r="H231" t="s">
        <v>734</v>
      </c>
      <c r="I231">
        <v>175</v>
      </c>
      <c r="J231">
        <v>81</v>
      </c>
      <c r="K231">
        <v>1</v>
      </c>
      <c r="L231" t="s">
        <v>142</v>
      </c>
    </row>
    <row r="232" spans="1:12" x14ac:dyDescent="0.3">
      <c r="A232" t="s">
        <v>22</v>
      </c>
      <c r="B232" t="s">
        <v>734</v>
      </c>
      <c r="C232">
        <v>23</v>
      </c>
      <c r="D232" t="s">
        <v>143</v>
      </c>
      <c r="E232" t="s">
        <v>788</v>
      </c>
      <c r="F232" t="s">
        <v>789</v>
      </c>
      <c r="G232" t="s">
        <v>790</v>
      </c>
      <c r="H232" t="s">
        <v>573</v>
      </c>
      <c r="I232">
        <v>178</v>
      </c>
      <c r="J232">
        <v>22</v>
      </c>
      <c r="K232">
        <v>2</v>
      </c>
      <c r="L232" t="s">
        <v>142</v>
      </c>
    </row>
    <row r="233" spans="1:12" x14ac:dyDescent="0.3">
      <c r="A233" t="s">
        <v>22</v>
      </c>
      <c r="B233" t="s">
        <v>734</v>
      </c>
      <c r="C233">
        <v>24</v>
      </c>
      <c r="D233" t="s">
        <v>163</v>
      </c>
      <c r="E233" t="s">
        <v>791</v>
      </c>
      <c r="F233" t="s">
        <v>792</v>
      </c>
      <c r="G233" t="s">
        <v>793</v>
      </c>
      <c r="H233" t="s">
        <v>223</v>
      </c>
      <c r="I233">
        <v>195</v>
      </c>
      <c r="J233">
        <v>14</v>
      </c>
      <c r="K233">
        <v>4</v>
      </c>
      <c r="L233" t="s">
        <v>142</v>
      </c>
    </row>
    <row r="234" spans="1:12" x14ac:dyDescent="0.3">
      <c r="A234" t="s">
        <v>22</v>
      </c>
      <c r="B234" t="s">
        <v>734</v>
      </c>
      <c r="C234">
        <v>25</v>
      </c>
      <c r="D234" t="s">
        <v>158</v>
      </c>
      <c r="E234" t="s">
        <v>794</v>
      </c>
      <c r="F234" t="s">
        <v>795</v>
      </c>
      <c r="G234" t="s">
        <v>796</v>
      </c>
      <c r="H234" t="s">
        <v>223</v>
      </c>
      <c r="I234">
        <v>174</v>
      </c>
      <c r="J234">
        <v>18</v>
      </c>
      <c r="K234">
        <v>3</v>
      </c>
      <c r="L234" t="s">
        <v>142</v>
      </c>
    </row>
    <row r="235" spans="1:12" x14ac:dyDescent="0.3">
      <c r="A235" t="s">
        <v>22</v>
      </c>
      <c r="B235" t="s">
        <v>734</v>
      </c>
      <c r="C235">
        <v>26</v>
      </c>
      <c r="D235" t="s">
        <v>163</v>
      </c>
      <c r="E235" t="s">
        <v>797</v>
      </c>
      <c r="F235" t="s">
        <v>798</v>
      </c>
      <c r="G235" t="s">
        <v>799</v>
      </c>
      <c r="H235" t="s">
        <v>25</v>
      </c>
      <c r="I235">
        <v>170</v>
      </c>
      <c r="J235">
        <v>16</v>
      </c>
      <c r="K235">
        <v>3</v>
      </c>
      <c r="L235" t="s">
        <v>142</v>
      </c>
    </row>
    <row r="236" spans="1:12" x14ac:dyDescent="0.3">
      <c r="A236" t="s">
        <v>71</v>
      </c>
      <c r="B236" t="s">
        <v>800</v>
      </c>
      <c r="C236">
        <v>1</v>
      </c>
      <c r="D236" t="s">
        <v>137</v>
      </c>
      <c r="E236" t="s">
        <v>801</v>
      </c>
      <c r="F236" t="s">
        <v>802</v>
      </c>
      <c r="G236" t="s">
        <v>803</v>
      </c>
      <c r="H236" t="s">
        <v>800</v>
      </c>
      <c r="I236">
        <v>183</v>
      </c>
      <c r="J236">
        <v>130</v>
      </c>
      <c r="K236">
        <v>0</v>
      </c>
      <c r="L236" t="s">
        <v>142</v>
      </c>
    </row>
    <row r="237" spans="1:12" x14ac:dyDescent="0.3">
      <c r="A237" t="s">
        <v>71</v>
      </c>
      <c r="B237" t="s">
        <v>800</v>
      </c>
      <c r="C237">
        <v>2</v>
      </c>
      <c r="D237" t="s">
        <v>143</v>
      </c>
      <c r="E237" t="s">
        <v>804</v>
      </c>
      <c r="F237" t="s">
        <v>805</v>
      </c>
      <c r="G237" t="s">
        <v>806</v>
      </c>
      <c r="H237" t="s">
        <v>194</v>
      </c>
      <c r="I237">
        <v>180</v>
      </c>
      <c r="J237">
        <v>51</v>
      </c>
      <c r="K237">
        <v>5</v>
      </c>
      <c r="L237" t="s">
        <v>142</v>
      </c>
    </row>
    <row r="238" spans="1:12" x14ac:dyDescent="0.3">
      <c r="A238" t="s">
        <v>71</v>
      </c>
      <c r="B238" t="s">
        <v>800</v>
      </c>
      <c r="C238">
        <v>3</v>
      </c>
      <c r="D238" t="s">
        <v>143</v>
      </c>
      <c r="E238" t="s">
        <v>807</v>
      </c>
      <c r="F238" t="s">
        <v>808</v>
      </c>
      <c r="G238" t="s">
        <v>809</v>
      </c>
      <c r="H238" t="s">
        <v>200</v>
      </c>
      <c r="I238">
        <v>187</v>
      </c>
      <c r="J238">
        <v>42</v>
      </c>
      <c r="K238">
        <v>1</v>
      </c>
      <c r="L238" t="s">
        <v>142</v>
      </c>
    </row>
    <row r="239" spans="1:12" x14ac:dyDescent="0.3">
      <c r="A239" t="s">
        <v>71</v>
      </c>
      <c r="B239" t="s">
        <v>800</v>
      </c>
      <c r="C239">
        <v>4</v>
      </c>
      <c r="D239" t="s">
        <v>143</v>
      </c>
      <c r="E239" t="s">
        <v>810</v>
      </c>
      <c r="F239" t="s">
        <v>811</v>
      </c>
      <c r="G239" t="s">
        <v>812</v>
      </c>
      <c r="H239" t="s">
        <v>230</v>
      </c>
      <c r="I239">
        <v>177</v>
      </c>
      <c r="J239">
        <v>69</v>
      </c>
      <c r="K239">
        <v>0</v>
      </c>
      <c r="L239" t="s">
        <v>142</v>
      </c>
    </row>
    <row r="240" spans="1:12" x14ac:dyDescent="0.3">
      <c r="A240" t="s">
        <v>71</v>
      </c>
      <c r="B240" t="s">
        <v>800</v>
      </c>
      <c r="C240">
        <v>5</v>
      </c>
      <c r="D240" t="s">
        <v>158</v>
      </c>
      <c r="E240" t="s">
        <v>813</v>
      </c>
      <c r="F240" t="s">
        <v>814</v>
      </c>
      <c r="G240" t="s">
        <v>242</v>
      </c>
      <c r="H240" t="s">
        <v>230</v>
      </c>
      <c r="I240">
        <v>179</v>
      </c>
      <c r="J240">
        <v>27</v>
      </c>
      <c r="K240">
        <v>0</v>
      </c>
      <c r="L240" t="s">
        <v>142</v>
      </c>
    </row>
    <row r="241" spans="1:12" x14ac:dyDescent="0.3">
      <c r="A241" t="s">
        <v>71</v>
      </c>
      <c r="B241" t="s">
        <v>800</v>
      </c>
      <c r="C241">
        <v>6</v>
      </c>
      <c r="D241" t="s">
        <v>158</v>
      </c>
      <c r="E241" t="s">
        <v>815</v>
      </c>
      <c r="F241" t="s">
        <v>816</v>
      </c>
      <c r="G241" t="s">
        <v>280</v>
      </c>
      <c r="H241" t="s">
        <v>281</v>
      </c>
      <c r="I241">
        <v>185</v>
      </c>
      <c r="J241">
        <v>37</v>
      </c>
      <c r="K241">
        <v>2</v>
      </c>
      <c r="L241" t="s">
        <v>142</v>
      </c>
    </row>
    <row r="242" spans="1:12" x14ac:dyDescent="0.3">
      <c r="A242" t="s">
        <v>71</v>
      </c>
      <c r="B242" t="s">
        <v>800</v>
      </c>
      <c r="C242">
        <v>7</v>
      </c>
      <c r="D242" t="s">
        <v>163</v>
      </c>
      <c r="E242" t="s">
        <v>817</v>
      </c>
      <c r="F242" t="s">
        <v>818</v>
      </c>
      <c r="G242" t="s">
        <v>437</v>
      </c>
      <c r="H242" t="s">
        <v>177</v>
      </c>
      <c r="I242">
        <v>179</v>
      </c>
      <c r="J242">
        <v>79</v>
      </c>
      <c r="K242">
        <v>23</v>
      </c>
      <c r="L242" t="s">
        <v>142</v>
      </c>
    </row>
    <row r="243" spans="1:12" x14ac:dyDescent="0.3">
      <c r="A243" t="s">
        <v>71</v>
      </c>
      <c r="B243" t="s">
        <v>800</v>
      </c>
      <c r="C243">
        <v>8</v>
      </c>
      <c r="D243" t="s">
        <v>158</v>
      </c>
      <c r="E243" t="s">
        <v>819</v>
      </c>
      <c r="F243" t="s">
        <v>820</v>
      </c>
      <c r="G243" t="s">
        <v>602</v>
      </c>
      <c r="H243" t="s">
        <v>288</v>
      </c>
      <c r="I243">
        <v>180</v>
      </c>
      <c r="J243">
        <v>25</v>
      </c>
      <c r="K243">
        <v>2</v>
      </c>
      <c r="L243" t="s">
        <v>142</v>
      </c>
    </row>
    <row r="244" spans="1:12" x14ac:dyDescent="0.3">
      <c r="A244" t="s">
        <v>71</v>
      </c>
      <c r="B244" t="s">
        <v>800</v>
      </c>
      <c r="C244">
        <v>9</v>
      </c>
      <c r="D244" t="s">
        <v>163</v>
      </c>
      <c r="E244" t="s">
        <v>821</v>
      </c>
      <c r="F244" t="s">
        <v>822</v>
      </c>
      <c r="G244" t="s">
        <v>673</v>
      </c>
      <c r="H244" t="s">
        <v>629</v>
      </c>
      <c r="I244">
        <v>186</v>
      </c>
      <c r="J244">
        <v>24</v>
      </c>
      <c r="K244">
        <v>6</v>
      </c>
      <c r="L244" t="s">
        <v>142</v>
      </c>
    </row>
    <row r="245" spans="1:12" x14ac:dyDescent="0.3">
      <c r="A245" t="s">
        <v>71</v>
      </c>
      <c r="B245" t="s">
        <v>800</v>
      </c>
      <c r="C245">
        <v>10</v>
      </c>
      <c r="D245" t="s">
        <v>158</v>
      </c>
      <c r="E245" t="s">
        <v>823</v>
      </c>
      <c r="F245" t="s">
        <v>824</v>
      </c>
      <c r="G245" t="s">
        <v>825</v>
      </c>
      <c r="H245" t="s">
        <v>25</v>
      </c>
      <c r="I245">
        <v>181</v>
      </c>
      <c r="J245">
        <v>131</v>
      </c>
      <c r="K245">
        <v>31</v>
      </c>
      <c r="L245" t="s">
        <v>142</v>
      </c>
    </row>
    <row r="246" spans="1:12" x14ac:dyDescent="0.3">
      <c r="A246" t="s">
        <v>71</v>
      </c>
      <c r="B246" t="s">
        <v>800</v>
      </c>
      <c r="C246">
        <v>11</v>
      </c>
      <c r="D246" t="s">
        <v>158</v>
      </c>
      <c r="E246" t="s">
        <v>826</v>
      </c>
      <c r="F246" t="s">
        <v>827</v>
      </c>
      <c r="G246" t="s">
        <v>287</v>
      </c>
      <c r="H246" t="s">
        <v>288</v>
      </c>
      <c r="I246">
        <v>168</v>
      </c>
      <c r="J246">
        <v>43</v>
      </c>
      <c r="K246">
        <v>7</v>
      </c>
      <c r="L246" t="s">
        <v>142</v>
      </c>
    </row>
    <row r="247" spans="1:12" x14ac:dyDescent="0.3">
      <c r="A247" t="s">
        <v>71</v>
      </c>
      <c r="B247" t="s">
        <v>800</v>
      </c>
      <c r="C247">
        <v>12</v>
      </c>
      <c r="D247" t="s">
        <v>137</v>
      </c>
      <c r="E247" t="s">
        <v>828</v>
      </c>
      <c r="F247" t="s">
        <v>829</v>
      </c>
      <c r="G247" t="s">
        <v>830</v>
      </c>
      <c r="H247" t="s">
        <v>831</v>
      </c>
      <c r="I247">
        <v>183</v>
      </c>
      <c r="J247">
        <v>47</v>
      </c>
      <c r="K247">
        <v>0</v>
      </c>
      <c r="L247" t="s">
        <v>142</v>
      </c>
    </row>
    <row r="248" spans="1:12" x14ac:dyDescent="0.3">
      <c r="A248" t="s">
        <v>71</v>
      </c>
      <c r="B248" t="s">
        <v>800</v>
      </c>
      <c r="C248">
        <v>13</v>
      </c>
      <c r="D248" t="s">
        <v>143</v>
      </c>
      <c r="E248" t="s">
        <v>832</v>
      </c>
      <c r="F248" t="s">
        <v>833</v>
      </c>
      <c r="G248" t="s">
        <v>834</v>
      </c>
      <c r="H248" t="s">
        <v>200</v>
      </c>
      <c r="I248">
        <v>195</v>
      </c>
      <c r="J248">
        <v>55</v>
      </c>
      <c r="K248">
        <v>8</v>
      </c>
      <c r="L248" t="s">
        <v>142</v>
      </c>
    </row>
    <row r="249" spans="1:12" x14ac:dyDescent="0.3">
      <c r="A249" t="s">
        <v>71</v>
      </c>
      <c r="B249" t="s">
        <v>800</v>
      </c>
      <c r="C249">
        <v>14</v>
      </c>
      <c r="D249" t="s">
        <v>143</v>
      </c>
      <c r="E249" t="s">
        <v>835</v>
      </c>
      <c r="F249" t="s">
        <v>836</v>
      </c>
      <c r="G249" t="s">
        <v>837</v>
      </c>
      <c r="H249" t="s">
        <v>219</v>
      </c>
      <c r="I249">
        <v>173</v>
      </c>
      <c r="J249">
        <v>11</v>
      </c>
      <c r="K249">
        <v>1</v>
      </c>
      <c r="L249" t="s">
        <v>142</v>
      </c>
    </row>
    <row r="250" spans="1:12" x14ac:dyDescent="0.3">
      <c r="A250" t="s">
        <v>71</v>
      </c>
      <c r="B250" t="s">
        <v>800</v>
      </c>
      <c r="C250">
        <v>15</v>
      </c>
      <c r="D250" t="s">
        <v>158</v>
      </c>
      <c r="E250" t="s">
        <v>838</v>
      </c>
      <c r="F250" t="s">
        <v>839</v>
      </c>
      <c r="G250" t="s">
        <v>840</v>
      </c>
      <c r="H250" t="s">
        <v>288</v>
      </c>
      <c r="I250">
        <v>181</v>
      </c>
      <c r="J250">
        <v>10</v>
      </c>
      <c r="K250">
        <v>0</v>
      </c>
      <c r="L250" t="s">
        <v>142</v>
      </c>
    </row>
    <row r="251" spans="1:12" x14ac:dyDescent="0.3">
      <c r="A251" t="s">
        <v>71</v>
      </c>
      <c r="B251" t="s">
        <v>800</v>
      </c>
      <c r="C251">
        <v>16</v>
      </c>
      <c r="D251" t="s">
        <v>158</v>
      </c>
      <c r="E251" t="s">
        <v>841</v>
      </c>
      <c r="F251" t="s">
        <v>842</v>
      </c>
      <c r="G251" t="s">
        <v>806</v>
      </c>
      <c r="H251" t="s">
        <v>194</v>
      </c>
      <c r="I251">
        <v>180</v>
      </c>
      <c r="J251">
        <v>70</v>
      </c>
      <c r="K251">
        <v>5</v>
      </c>
      <c r="L251" t="s">
        <v>142</v>
      </c>
    </row>
    <row r="252" spans="1:12" x14ac:dyDescent="0.3">
      <c r="A252" t="s">
        <v>71</v>
      </c>
      <c r="B252" t="s">
        <v>800</v>
      </c>
      <c r="C252">
        <v>17</v>
      </c>
      <c r="D252" t="s">
        <v>143</v>
      </c>
      <c r="E252" t="s">
        <v>843</v>
      </c>
      <c r="F252" t="s">
        <v>844</v>
      </c>
      <c r="G252" t="s">
        <v>845</v>
      </c>
      <c r="H252" t="s">
        <v>219</v>
      </c>
      <c r="I252">
        <v>184</v>
      </c>
      <c r="J252">
        <v>49</v>
      </c>
      <c r="K252">
        <v>1</v>
      </c>
      <c r="L252" t="s">
        <v>142</v>
      </c>
    </row>
    <row r="253" spans="1:12" x14ac:dyDescent="0.3">
      <c r="A253" t="s">
        <v>71</v>
      </c>
      <c r="B253" t="s">
        <v>800</v>
      </c>
      <c r="C253">
        <v>18</v>
      </c>
      <c r="D253" t="s">
        <v>143</v>
      </c>
      <c r="E253" t="s">
        <v>846</v>
      </c>
      <c r="F253" t="s">
        <v>847</v>
      </c>
      <c r="G253" t="s">
        <v>848</v>
      </c>
      <c r="H253" t="s">
        <v>831</v>
      </c>
      <c r="I253">
        <v>179</v>
      </c>
      <c r="J253">
        <v>5</v>
      </c>
      <c r="K253">
        <v>0</v>
      </c>
      <c r="L253" t="s">
        <v>142</v>
      </c>
    </row>
    <row r="254" spans="1:12" x14ac:dyDescent="0.3">
      <c r="A254" t="s">
        <v>71</v>
      </c>
      <c r="B254" t="s">
        <v>800</v>
      </c>
      <c r="C254">
        <v>19</v>
      </c>
      <c r="D254" t="s">
        <v>163</v>
      </c>
      <c r="E254" t="s">
        <v>849</v>
      </c>
      <c r="F254" t="s">
        <v>850</v>
      </c>
      <c r="G254" t="s">
        <v>261</v>
      </c>
      <c r="H254" t="s">
        <v>219</v>
      </c>
      <c r="I254">
        <v>176</v>
      </c>
      <c r="J254">
        <v>11</v>
      </c>
      <c r="K254">
        <v>2</v>
      </c>
      <c r="L254" t="s">
        <v>142</v>
      </c>
    </row>
    <row r="255" spans="1:12" x14ac:dyDescent="0.3">
      <c r="A255" t="s">
        <v>71</v>
      </c>
      <c r="B255" t="s">
        <v>800</v>
      </c>
      <c r="C255">
        <v>20</v>
      </c>
      <c r="D255" t="s">
        <v>158</v>
      </c>
      <c r="E255" t="s">
        <v>851</v>
      </c>
      <c r="F255" t="s">
        <v>852</v>
      </c>
      <c r="G255" t="s">
        <v>242</v>
      </c>
      <c r="H255" t="s">
        <v>230</v>
      </c>
      <c r="I255">
        <v>167</v>
      </c>
      <c r="J255">
        <v>53</v>
      </c>
      <c r="K255">
        <v>6</v>
      </c>
      <c r="L255" t="s">
        <v>142</v>
      </c>
    </row>
    <row r="256" spans="1:12" x14ac:dyDescent="0.3">
      <c r="A256" t="s">
        <v>71</v>
      </c>
      <c r="B256" t="s">
        <v>800</v>
      </c>
      <c r="C256">
        <v>21</v>
      </c>
      <c r="D256" t="s">
        <v>163</v>
      </c>
      <c r="E256" t="s">
        <v>853</v>
      </c>
      <c r="F256" t="s">
        <v>854</v>
      </c>
      <c r="G256" t="s">
        <v>855</v>
      </c>
      <c r="H256" t="s">
        <v>230</v>
      </c>
      <c r="I256">
        <v>166</v>
      </c>
      <c r="J256">
        <v>13</v>
      </c>
      <c r="K256">
        <v>2</v>
      </c>
      <c r="L256" t="s">
        <v>142</v>
      </c>
    </row>
    <row r="257" spans="1:12" x14ac:dyDescent="0.3">
      <c r="A257" t="s">
        <v>71</v>
      </c>
      <c r="B257" t="s">
        <v>800</v>
      </c>
      <c r="C257">
        <v>22</v>
      </c>
      <c r="D257" t="s">
        <v>143</v>
      </c>
      <c r="E257" t="s">
        <v>856</v>
      </c>
      <c r="F257" t="s">
        <v>857</v>
      </c>
      <c r="G257" t="s">
        <v>858</v>
      </c>
      <c r="H257" t="s">
        <v>147</v>
      </c>
      <c r="I257">
        <v>173</v>
      </c>
      <c r="J257">
        <v>16</v>
      </c>
      <c r="K257">
        <v>0</v>
      </c>
      <c r="L257" t="s">
        <v>142</v>
      </c>
    </row>
    <row r="258" spans="1:12" x14ac:dyDescent="0.3">
      <c r="A258" t="s">
        <v>71</v>
      </c>
      <c r="B258" t="s">
        <v>800</v>
      </c>
      <c r="C258">
        <v>23</v>
      </c>
      <c r="D258" t="s">
        <v>143</v>
      </c>
      <c r="E258" t="s">
        <v>859</v>
      </c>
      <c r="F258" t="s">
        <v>860</v>
      </c>
      <c r="G258" t="s">
        <v>861</v>
      </c>
      <c r="H258" t="s">
        <v>523</v>
      </c>
      <c r="I258">
        <v>188</v>
      </c>
      <c r="J258">
        <v>84</v>
      </c>
      <c r="K258">
        <v>4</v>
      </c>
      <c r="L258" t="s">
        <v>142</v>
      </c>
    </row>
    <row r="259" spans="1:12" x14ac:dyDescent="0.3">
      <c r="A259" t="s">
        <v>71</v>
      </c>
      <c r="B259" t="s">
        <v>800</v>
      </c>
      <c r="C259">
        <v>24</v>
      </c>
      <c r="D259" t="s">
        <v>137</v>
      </c>
      <c r="E259" t="s">
        <v>862</v>
      </c>
      <c r="F259" t="s">
        <v>863</v>
      </c>
      <c r="G259" t="s">
        <v>864</v>
      </c>
      <c r="H259" t="s">
        <v>230</v>
      </c>
      <c r="I259">
        <v>201</v>
      </c>
      <c r="J259">
        <v>12</v>
      </c>
      <c r="K259">
        <v>0</v>
      </c>
      <c r="L259" t="s">
        <v>142</v>
      </c>
    </row>
    <row r="260" spans="1:12" x14ac:dyDescent="0.3">
      <c r="A260" t="s">
        <v>71</v>
      </c>
      <c r="B260" t="s">
        <v>800</v>
      </c>
      <c r="C260">
        <v>25</v>
      </c>
      <c r="D260" t="s">
        <v>163</v>
      </c>
      <c r="E260" t="s">
        <v>865</v>
      </c>
      <c r="F260" t="s">
        <v>866</v>
      </c>
      <c r="G260" t="s">
        <v>458</v>
      </c>
      <c r="H260" t="s">
        <v>281</v>
      </c>
      <c r="I260">
        <v>179</v>
      </c>
      <c r="J260">
        <v>17</v>
      </c>
      <c r="K260">
        <v>5</v>
      </c>
      <c r="L260" t="s">
        <v>142</v>
      </c>
    </row>
    <row r="261" spans="1:12" x14ac:dyDescent="0.3">
      <c r="A261" t="s">
        <v>71</v>
      </c>
      <c r="B261" t="s">
        <v>800</v>
      </c>
      <c r="C261">
        <v>26</v>
      </c>
      <c r="D261" t="s">
        <v>163</v>
      </c>
      <c r="E261" t="s">
        <v>867</v>
      </c>
      <c r="F261" t="s">
        <v>868</v>
      </c>
      <c r="G261" t="s">
        <v>869</v>
      </c>
      <c r="H261" t="s">
        <v>288</v>
      </c>
      <c r="I261">
        <v>170</v>
      </c>
      <c r="J261">
        <v>9</v>
      </c>
      <c r="K261">
        <v>2</v>
      </c>
      <c r="L261" t="s">
        <v>142</v>
      </c>
    </row>
    <row r="262" spans="1:12" x14ac:dyDescent="0.3">
      <c r="A262" t="s">
        <v>64</v>
      </c>
      <c r="B262" t="s">
        <v>870</v>
      </c>
      <c r="C262">
        <v>1</v>
      </c>
      <c r="D262" t="s">
        <v>137</v>
      </c>
      <c r="E262" t="s">
        <v>871</v>
      </c>
      <c r="F262" t="s">
        <v>872</v>
      </c>
      <c r="G262" t="s">
        <v>873</v>
      </c>
      <c r="H262" t="s">
        <v>147</v>
      </c>
      <c r="I262">
        <v>182</v>
      </c>
      <c r="J262">
        <v>32</v>
      </c>
      <c r="K262">
        <v>0</v>
      </c>
      <c r="L262" t="s">
        <v>142</v>
      </c>
    </row>
    <row r="263" spans="1:12" x14ac:dyDescent="0.3">
      <c r="A263" t="s">
        <v>64</v>
      </c>
      <c r="B263" t="s">
        <v>870</v>
      </c>
      <c r="C263">
        <v>2</v>
      </c>
      <c r="D263" t="s">
        <v>143</v>
      </c>
      <c r="E263" t="s">
        <v>874</v>
      </c>
      <c r="F263" t="s">
        <v>875</v>
      </c>
      <c r="G263" t="s">
        <v>876</v>
      </c>
      <c r="H263" t="s">
        <v>194</v>
      </c>
      <c r="I263">
        <v>183</v>
      </c>
      <c r="J263">
        <v>16</v>
      </c>
      <c r="K263">
        <v>0</v>
      </c>
      <c r="L263" t="s">
        <v>142</v>
      </c>
    </row>
    <row r="264" spans="1:12" x14ac:dyDescent="0.3">
      <c r="A264" t="s">
        <v>64</v>
      </c>
      <c r="B264" t="s">
        <v>870</v>
      </c>
      <c r="C264">
        <v>3</v>
      </c>
      <c r="D264" t="s">
        <v>143</v>
      </c>
      <c r="E264" t="s">
        <v>877</v>
      </c>
      <c r="F264" t="s">
        <v>878</v>
      </c>
      <c r="G264" t="s">
        <v>879</v>
      </c>
      <c r="H264" t="s">
        <v>540</v>
      </c>
      <c r="I264">
        <v>196</v>
      </c>
      <c r="J264">
        <v>5</v>
      </c>
      <c r="K264">
        <v>0</v>
      </c>
      <c r="L264" t="s">
        <v>142</v>
      </c>
    </row>
    <row r="265" spans="1:12" x14ac:dyDescent="0.3">
      <c r="A265" t="s">
        <v>64</v>
      </c>
      <c r="B265" t="s">
        <v>870</v>
      </c>
      <c r="C265">
        <v>4</v>
      </c>
      <c r="D265" t="s">
        <v>143</v>
      </c>
      <c r="E265" t="s">
        <v>880</v>
      </c>
      <c r="F265" t="s">
        <v>881</v>
      </c>
      <c r="G265" t="s">
        <v>882</v>
      </c>
      <c r="H265" t="s">
        <v>194</v>
      </c>
      <c r="I265">
        <v>188</v>
      </c>
      <c r="J265">
        <v>17</v>
      </c>
      <c r="K265">
        <v>1</v>
      </c>
      <c r="L265" t="s">
        <v>142</v>
      </c>
    </row>
    <row r="266" spans="1:12" x14ac:dyDescent="0.3">
      <c r="A266" t="s">
        <v>64</v>
      </c>
      <c r="B266" t="s">
        <v>870</v>
      </c>
      <c r="C266">
        <v>5</v>
      </c>
      <c r="D266" t="s">
        <v>143</v>
      </c>
      <c r="E266" t="s">
        <v>883</v>
      </c>
      <c r="F266" t="s">
        <v>884</v>
      </c>
      <c r="G266" t="s">
        <v>885</v>
      </c>
      <c r="H266" t="s">
        <v>886</v>
      </c>
      <c r="I266">
        <v>185</v>
      </c>
      <c r="J266">
        <v>15</v>
      </c>
      <c r="K266">
        <v>1</v>
      </c>
      <c r="L266" t="s">
        <v>142</v>
      </c>
    </row>
    <row r="267" spans="1:12" x14ac:dyDescent="0.3">
      <c r="A267" t="s">
        <v>64</v>
      </c>
      <c r="B267" t="s">
        <v>870</v>
      </c>
      <c r="C267">
        <v>6</v>
      </c>
      <c r="D267" t="s">
        <v>158</v>
      </c>
      <c r="E267" t="s">
        <v>887</v>
      </c>
      <c r="F267" t="s">
        <v>888</v>
      </c>
      <c r="G267" t="s">
        <v>146</v>
      </c>
      <c r="H267" t="s">
        <v>147</v>
      </c>
      <c r="I267">
        <v>186</v>
      </c>
      <c r="J267">
        <v>18</v>
      </c>
      <c r="K267">
        <v>0</v>
      </c>
      <c r="L267" t="s">
        <v>142</v>
      </c>
    </row>
    <row r="268" spans="1:12" x14ac:dyDescent="0.3">
      <c r="A268" t="s">
        <v>64</v>
      </c>
      <c r="B268" t="s">
        <v>870</v>
      </c>
      <c r="C268">
        <v>7</v>
      </c>
      <c r="D268" t="s">
        <v>158</v>
      </c>
      <c r="E268" t="s">
        <v>889</v>
      </c>
      <c r="F268" t="s">
        <v>890</v>
      </c>
      <c r="G268" t="s">
        <v>891</v>
      </c>
      <c r="H268" t="s">
        <v>147</v>
      </c>
      <c r="I268">
        <v>170</v>
      </c>
      <c r="J268">
        <v>22</v>
      </c>
      <c r="K268">
        <v>2</v>
      </c>
      <c r="L268" t="s">
        <v>142</v>
      </c>
    </row>
    <row r="269" spans="1:12" x14ac:dyDescent="0.3">
      <c r="A269" t="s">
        <v>64</v>
      </c>
      <c r="B269" t="s">
        <v>870</v>
      </c>
      <c r="C269">
        <v>8</v>
      </c>
      <c r="D269" t="s">
        <v>158</v>
      </c>
      <c r="E269" t="s">
        <v>892</v>
      </c>
      <c r="F269" t="s">
        <v>893</v>
      </c>
      <c r="G269" t="s">
        <v>894</v>
      </c>
      <c r="H269" t="s">
        <v>886</v>
      </c>
      <c r="I269">
        <v>176</v>
      </c>
      <c r="J269">
        <v>62</v>
      </c>
      <c r="K269">
        <v>0</v>
      </c>
      <c r="L269" t="s">
        <v>142</v>
      </c>
    </row>
    <row r="270" spans="1:12" x14ac:dyDescent="0.3">
      <c r="A270" t="s">
        <v>64</v>
      </c>
      <c r="B270" t="s">
        <v>870</v>
      </c>
      <c r="C270">
        <v>9</v>
      </c>
      <c r="D270" t="s">
        <v>163</v>
      </c>
      <c r="E270" t="s">
        <v>895</v>
      </c>
      <c r="F270" t="s">
        <v>896</v>
      </c>
      <c r="G270" t="s">
        <v>336</v>
      </c>
      <c r="H270" t="s">
        <v>219</v>
      </c>
      <c r="I270">
        <v>172</v>
      </c>
      <c r="J270">
        <v>10</v>
      </c>
      <c r="K270">
        <v>1</v>
      </c>
      <c r="L270" t="s">
        <v>142</v>
      </c>
    </row>
    <row r="271" spans="1:12" x14ac:dyDescent="0.3">
      <c r="A271" t="s">
        <v>64</v>
      </c>
      <c r="B271" t="s">
        <v>870</v>
      </c>
      <c r="C271">
        <v>10</v>
      </c>
      <c r="D271" t="s">
        <v>158</v>
      </c>
      <c r="E271" t="s">
        <v>897</v>
      </c>
      <c r="F271" t="s">
        <v>898</v>
      </c>
      <c r="G271" t="s">
        <v>899</v>
      </c>
      <c r="H271" t="s">
        <v>629</v>
      </c>
      <c r="I271">
        <v>176</v>
      </c>
      <c r="J271">
        <v>40</v>
      </c>
      <c r="K271">
        <v>7</v>
      </c>
      <c r="L271" t="s">
        <v>142</v>
      </c>
    </row>
    <row r="272" spans="1:12" x14ac:dyDescent="0.3">
      <c r="A272" t="s">
        <v>64</v>
      </c>
      <c r="B272" t="s">
        <v>870</v>
      </c>
      <c r="C272">
        <v>11</v>
      </c>
      <c r="D272" t="s">
        <v>163</v>
      </c>
      <c r="E272" t="s">
        <v>900</v>
      </c>
      <c r="F272" t="s">
        <v>901</v>
      </c>
      <c r="G272" t="s">
        <v>885</v>
      </c>
      <c r="H272" t="s">
        <v>886</v>
      </c>
      <c r="I272">
        <v>174</v>
      </c>
      <c r="J272">
        <v>31</v>
      </c>
      <c r="K272">
        <v>5</v>
      </c>
      <c r="L272" t="s">
        <v>142</v>
      </c>
    </row>
    <row r="273" spans="1:12" x14ac:dyDescent="0.3">
      <c r="A273" t="s">
        <v>64</v>
      </c>
      <c r="B273" t="s">
        <v>870</v>
      </c>
      <c r="C273">
        <v>12</v>
      </c>
      <c r="D273" t="s">
        <v>143</v>
      </c>
      <c r="E273" t="s">
        <v>902</v>
      </c>
      <c r="F273" t="s">
        <v>903</v>
      </c>
      <c r="G273" t="s">
        <v>904</v>
      </c>
      <c r="H273" t="s">
        <v>223</v>
      </c>
      <c r="I273">
        <v>180</v>
      </c>
      <c r="J273">
        <v>30</v>
      </c>
      <c r="K273">
        <v>1</v>
      </c>
      <c r="L273" t="s">
        <v>142</v>
      </c>
    </row>
    <row r="274" spans="1:12" x14ac:dyDescent="0.3">
      <c r="A274" t="s">
        <v>64</v>
      </c>
      <c r="B274" t="s">
        <v>870</v>
      </c>
      <c r="C274">
        <v>13</v>
      </c>
      <c r="D274" t="s">
        <v>163</v>
      </c>
      <c r="E274" t="s">
        <v>905</v>
      </c>
      <c r="F274" t="s">
        <v>906</v>
      </c>
      <c r="G274" t="s">
        <v>907</v>
      </c>
      <c r="H274" t="s">
        <v>523</v>
      </c>
      <c r="I274">
        <v>173</v>
      </c>
      <c r="J274">
        <v>70</v>
      </c>
      <c r="K274">
        <v>12</v>
      </c>
      <c r="L274" t="s">
        <v>142</v>
      </c>
    </row>
    <row r="275" spans="1:12" x14ac:dyDescent="0.3">
      <c r="A275" t="s">
        <v>64</v>
      </c>
      <c r="B275" t="s">
        <v>870</v>
      </c>
      <c r="C275">
        <v>14</v>
      </c>
      <c r="D275" t="s">
        <v>158</v>
      </c>
      <c r="E275" t="s">
        <v>908</v>
      </c>
      <c r="F275" t="s">
        <v>909</v>
      </c>
      <c r="G275" t="s">
        <v>910</v>
      </c>
      <c r="H275" t="s">
        <v>194</v>
      </c>
      <c r="I275">
        <v>165</v>
      </c>
      <c r="J275">
        <v>24</v>
      </c>
      <c r="K275">
        <v>0</v>
      </c>
      <c r="L275" t="s">
        <v>142</v>
      </c>
    </row>
    <row r="276" spans="1:12" x14ac:dyDescent="0.3">
      <c r="A276" t="s">
        <v>64</v>
      </c>
      <c r="B276" t="s">
        <v>870</v>
      </c>
      <c r="C276">
        <v>15</v>
      </c>
      <c r="D276" t="s">
        <v>158</v>
      </c>
      <c r="E276" t="s">
        <v>911</v>
      </c>
      <c r="F276" t="s">
        <v>912</v>
      </c>
      <c r="G276" t="s">
        <v>913</v>
      </c>
      <c r="H276" t="s">
        <v>347</v>
      </c>
      <c r="I276">
        <v>184</v>
      </c>
      <c r="J276">
        <v>17</v>
      </c>
      <c r="K276">
        <v>1</v>
      </c>
      <c r="L276" t="s">
        <v>142</v>
      </c>
    </row>
    <row r="277" spans="1:12" x14ac:dyDescent="0.3">
      <c r="A277" t="s">
        <v>64</v>
      </c>
      <c r="B277" t="s">
        <v>870</v>
      </c>
      <c r="C277">
        <v>16</v>
      </c>
      <c r="D277" t="s">
        <v>137</v>
      </c>
      <c r="E277" t="s">
        <v>914</v>
      </c>
      <c r="F277" t="s">
        <v>915</v>
      </c>
      <c r="G277" t="s">
        <v>916</v>
      </c>
      <c r="H277" t="s">
        <v>917</v>
      </c>
      <c r="I277">
        <v>192</v>
      </c>
      <c r="J277">
        <v>3</v>
      </c>
      <c r="K277">
        <v>0</v>
      </c>
      <c r="L277" t="s">
        <v>142</v>
      </c>
    </row>
    <row r="278" spans="1:12" x14ac:dyDescent="0.3">
      <c r="A278" t="s">
        <v>64</v>
      </c>
      <c r="B278" t="s">
        <v>870</v>
      </c>
      <c r="C278">
        <v>17</v>
      </c>
      <c r="D278" t="s">
        <v>163</v>
      </c>
      <c r="E278" t="s">
        <v>918</v>
      </c>
      <c r="F278" t="s">
        <v>919</v>
      </c>
      <c r="G278" t="s">
        <v>261</v>
      </c>
      <c r="H278" t="s">
        <v>219</v>
      </c>
      <c r="I278">
        <v>182</v>
      </c>
      <c r="J278">
        <v>73</v>
      </c>
      <c r="K278">
        <v>21</v>
      </c>
      <c r="L278" t="s">
        <v>142</v>
      </c>
    </row>
    <row r="279" spans="1:12" x14ac:dyDescent="0.3">
      <c r="A279" t="s">
        <v>64</v>
      </c>
      <c r="B279" t="s">
        <v>870</v>
      </c>
      <c r="C279">
        <v>18</v>
      </c>
      <c r="D279" t="s">
        <v>158</v>
      </c>
      <c r="E279" t="s">
        <v>920</v>
      </c>
      <c r="F279" t="s">
        <v>921</v>
      </c>
      <c r="G279" t="s">
        <v>922</v>
      </c>
      <c r="H279" t="s">
        <v>219</v>
      </c>
      <c r="I279">
        <v>187</v>
      </c>
      <c r="J279">
        <v>36</v>
      </c>
      <c r="K279">
        <v>1</v>
      </c>
      <c r="L279" t="s">
        <v>142</v>
      </c>
    </row>
    <row r="280" spans="1:12" x14ac:dyDescent="0.3">
      <c r="A280" t="s">
        <v>64</v>
      </c>
      <c r="B280" t="s">
        <v>870</v>
      </c>
      <c r="C280">
        <v>19</v>
      </c>
      <c r="D280" t="s">
        <v>163</v>
      </c>
      <c r="E280" t="s">
        <v>923</v>
      </c>
      <c r="F280" t="s">
        <v>924</v>
      </c>
      <c r="G280" t="s">
        <v>925</v>
      </c>
      <c r="H280" t="s">
        <v>926</v>
      </c>
      <c r="I280">
        <v>185</v>
      </c>
      <c r="J280">
        <v>38</v>
      </c>
      <c r="K280">
        <v>6</v>
      </c>
      <c r="L280" t="s">
        <v>142</v>
      </c>
    </row>
    <row r="281" spans="1:12" x14ac:dyDescent="0.3">
      <c r="A281" t="s">
        <v>64</v>
      </c>
      <c r="B281" t="s">
        <v>870</v>
      </c>
      <c r="C281">
        <v>20</v>
      </c>
      <c r="D281" t="s">
        <v>163</v>
      </c>
      <c r="E281" t="s">
        <v>927</v>
      </c>
      <c r="F281" t="s">
        <v>928</v>
      </c>
      <c r="G281" t="s">
        <v>607</v>
      </c>
      <c r="H281" t="s">
        <v>194</v>
      </c>
      <c r="I281">
        <v>176</v>
      </c>
      <c r="J281">
        <v>42</v>
      </c>
      <c r="K281">
        <v>11</v>
      </c>
      <c r="L281" t="s">
        <v>142</v>
      </c>
    </row>
    <row r="282" spans="1:12" x14ac:dyDescent="0.3">
      <c r="A282" t="s">
        <v>64</v>
      </c>
      <c r="B282" t="s">
        <v>870</v>
      </c>
      <c r="C282">
        <v>21</v>
      </c>
      <c r="D282" t="s">
        <v>137</v>
      </c>
      <c r="E282" t="s">
        <v>929</v>
      </c>
      <c r="F282" t="s">
        <v>930</v>
      </c>
      <c r="G282" t="s">
        <v>931</v>
      </c>
      <c r="H282" t="s">
        <v>223</v>
      </c>
      <c r="I282">
        <v>183</v>
      </c>
      <c r="J282">
        <v>1</v>
      </c>
      <c r="K282">
        <v>0</v>
      </c>
      <c r="L282" t="s">
        <v>142</v>
      </c>
    </row>
    <row r="283" spans="1:12" x14ac:dyDescent="0.3">
      <c r="A283" t="s">
        <v>64</v>
      </c>
      <c r="B283" t="s">
        <v>870</v>
      </c>
      <c r="C283">
        <v>22</v>
      </c>
      <c r="D283" t="s">
        <v>143</v>
      </c>
      <c r="E283" t="s">
        <v>932</v>
      </c>
      <c r="F283" t="s">
        <v>903</v>
      </c>
      <c r="G283" t="s">
        <v>146</v>
      </c>
      <c r="H283" t="s">
        <v>147</v>
      </c>
      <c r="I283">
        <v>182</v>
      </c>
      <c r="J283">
        <v>113</v>
      </c>
      <c r="K283">
        <v>7</v>
      </c>
      <c r="L283" t="s">
        <v>142</v>
      </c>
    </row>
    <row r="284" spans="1:12" x14ac:dyDescent="0.3">
      <c r="A284" t="s">
        <v>64</v>
      </c>
      <c r="B284" t="s">
        <v>870</v>
      </c>
      <c r="C284">
        <v>23</v>
      </c>
      <c r="D284" t="s">
        <v>163</v>
      </c>
      <c r="E284" t="s">
        <v>933</v>
      </c>
      <c r="F284" t="s">
        <v>934</v>
      </c>
      <c r="G284" t="s">
        <v>935</v>
      </c>
      <c r="H284" t="s">
        <v>663</v>
      </c>
      <c r="I284">
        <v>189</v>
      </c>
      <c r="J284">
        <v>17</v>
      </c>
      <c r="K284">
        <v>2</v>
      </c>
      <c r="L284" t="s">
        <v>142</v>
      </c>
    </row>
    <row r="285" spans="1:12" x14ac:dyDescent="0.3">
      <c r="A285" t="s">
        <v>64</v>
      </c>
      <c r="B285" t="s">
        <v>870</v>
      </c>
      <c r="C285">
        <v>24</v>
      </c>
      <c r="D285" t="s">
        <v>143</v>
      </c>
      <c r="E285" t="s">
        <v>936</v>
      </c>
      <c r="F285" t="s">
        <v>937</v>
      </c>
      <c r="G285" t="s">
        <v>938</v>
      </c>
      <c r="H285" t="s">
        <v>308</v>
      </c>
      <c r="I285">
        <v>178</v>
      </c>
      <c r="J285">
        <v>29</v>
      </c>
      <c r="K285">
        <v>0</v>
      </c>
      <c r="L285" t="s">
        <v>142</v>
      </c>
    </row>
    <row r="286" spans="1:12" x14ac:dyDescent="0.3">
      <c r="A286" t="s">
        <v>64</v>
      </c>
      <c r="B286" t="s">
        <v>870</v>
      </c>
      <c r="C286">
        <v>25</v>
      </c>
      <c r="D286" t="s">
        <v>158</v>
      </c>
      <c r="E286" t="s">
        <v>939</v>
      </c>
      <c r="F286" t="s">
        <v>940</v>
      </c>
      <c r="G286" t="s">
        <v>354</v>
      </c>
      <c r="H286" t="s">
        <v>194</v>
      </c>
      <c r="I286">
        <v>183</v>
      </c>
      <c r="J286">
        <v>45</v>
      </c>
      <c r="K286">
        <v>2</v>
      </c>
      <c r="L286" t="s">
        <v>142</v>
      </c>
    </row>
    <row r="287" spans="1:12" x14ac:dyDescent="0.3">
      <c r="A287" t="s">
        <v>64</v>
      </c>
      <c r="B287" t="s">
        <v>870</v>
      </c>
      <c r="C287">
        <v>26</v>
      </c>
      <c r="D287" t="s">
        <v>143</v>
      </c>
      <c r="E287" t="s">
        <v>941</v>
      </c>
      <c r="F287" t="s">
        <v>942</v>
      </c>
      <c r="G287" t="s">
        <v>943</v>
      </c>
      <c r="H287" t="s">
        <v>147</v>
      </c>
      <c r="I287">
        <v>179</v>
      </c>
      <c r="J287">
        <v>48</v>
      </c>
      <c r="K287">
        <v>4</v>
      </c>
      <c r="L287" t="s">
        <v>142</v>
      </c>
    </row>
    <row r="288" spans="1:12" x14ac:dyDescent="0.3">
      <c r="A288" t="s">
        <v>944</v>
      </c>
      <c r="B288" t="s">
        <v>945</v>
      </c>
      <c r="C288">
        <v>1</v>
      </c>
      <c r="D288" t="s">
        <v>137</v>
      </c>
      <c r="E288" t="s">
        <v>946</v>
      </c>
      <c r="F288" t="s">
        <v>947</v>
      </c>
      <c r="G288" t="s">
        <v>948</v>
      </c>
      <c r="H288" t="s">
        <v>523</v>
      </c>
      <c r="I288">
        <v>194</v>
      </c>
      <c r="J288">
        <v>40</v>
      </c>
      <c r="K288">
        <v>0</v>
      </c>
      <c r="L288" t="s">
        <v>142</v>
      </c>
    </row>
    <row r="289" spans="1:12" x14ac:dyDescent="0.3">
      <c r="A289" t="s">
        <v>944</v>
      </c>
      <c r="B289" t="s">
        <v>945</v>
      </c>
      <c r="C289">
        <v>2</v>
      </c>
      <c r="D289" t="s">
        <v>143</v>
      </c>
      <c r="E289" t="s">
        <v>949</v>
      </c>
      <c r="F289" t="s">
        <v>950</v>
      </c>
      <c r="G289" t="s">
        <v>458</v>
      </c>
      <c r="H289" t="s">
        <v>281</v>
      </c>
      <c r="I289">
        <v>190</v>
      </c>
      <c r="J289">
        <v>17</v>
      </c>
      <c r="K289">
        <v>1</v>
      </c>
      <c r="L289" t="s">
        <v>142</v>
      </c>
    </row>
    <row r="290" spans="1:12" x14ac:dyDescent="0.3">
      <c r="A290" t="s">
        <v>944</v>
      </c>
      <c r="B290" t="s">
        <v>945</v>
      </c>
      <c r="C290">
        <v>3</v>
      </c>
      <c r="D290" t="s">
        <v>143</v>
      </c>
      <c r="E290" t="s">
        <v>951</v>
      </c>
      <c r="F290" t="s">
        <v>952</v>
      </c>
      <c r="G290" t="s">
        <v>953</v>
      </c>
      <c r="H290" t="s">
        <v>281</v>
      </c>
      <c r="I290">
        <v>176</v>
      </c>
      <c r="J290">
        <v>57</v>
      </c>
      <c r="K290">
        <v>0</v>
      </c>
      <c r="L290" t="s">
        <v>142</v>
      </c>
    </row>
    <row r="291" spans="1:12" x14ac:dyDescent="0.3">
      <c r="A291" t="s">
        <v>944</v>
      </c>
      <c r="B291" t="s">
        <v>945</v>
      </c>
      <c r="C291">
        <v>4</v>
      </c>
      <c r="D291" t="s">
        <v>158</v>
      </c>
      <c r="E291" t="s">
        <v>954</v>
      </c>
      <c r="F291" t="s">
        <v>955</v>
      </c>
      <c r="G291" t="s">
        <v>956</v>
      </c>
      <c r="H291" t="s">
        <v>957</v>
      </c>
      <c r="I291">
        <v>168</v>
      </c>
      <c r="J291">
        <v>66</v>
      </c>
      <c r="K291">
        <v>4</v>
      </c>
      <c r="L291" t="s">
        <v>142</v>
      </c>
    </row>
    <row r="292" spans="1:12" x14ac:dyDescent="0.3">
      <c r="A292" t="s">
        <v>944</v>
      </c>
      <c r="B292" t="s">
        <v>945</v>
      </c>
      <c r="C292">
        <v>5</v>
      </c>
      <c r="D292" t="s">
        <v>143</v>
      </c>
      <c r="E292" t="s">
        <v>958</v>
      </c>
      <c r="F292" t="s">
        <v>959</v>
      </c>
      <c r="G292" t="s">
        <v>861</v>
      </c>
      <c r="H292" t="s">
        <v>523</v>
      </c>
      <c r="I292">
        <v>182</v>
      </c>
      <c r="J292">
        <v>37</v>
      </c>
      <c r="K292">
        <v>1</v>
      </c>
      <c r="L292" t="s">
        <v>142</v>
      </c>
    </row>
    <row r="293" spans="1:12" x14ac:dyDescent="0.3">
      <c r="A293" t="s">
        <v>944</v>
      </c>
      <c r="B293" t="s">
        <v>945</v>
      </c>
      <c r="C293">
        <v>6</v>
      </c>
      <c r="D293" t="s">
        <v>158</v>
      </c>
      <c r="E293" t="s">
        <v>960</v>
      </c>
      <c r="F293" t="s">
        <v>961</v>
      </c>
      <c r="G293" t="s">
        <v>962</v>
      </c>
      <c r="H293" t="s">
        <v>281</v>
      </c>
      <c r="I293">
        <v>185</v>
      </c>
      <c r="J293">
        <v>34</v>
      </c>
      <c r="K293">
        <v>7</v>
      </c>
      <c r="L293" t="s">
        <v>142</v>
      </c>
    </row>
    <row r="294" spans="1:12" x14ac:dyDescent="0.3">
      <c r="A294" t="s">
        <v>944</v>
      </c>
      <c r="B294" t="s">
        <v>945</v>
      </c>
      <c r="C294">
        <v>7</v>
      </c>
      <c r="D294" t="s">
        <v>143</v>
      </c>
      <c r="E294" t="s">
        <v>963</v>
      </c>
      <c r="F294" t="s">
        <v>964</v>
      </c>
      <c r="G294" t="s">
        <v>495</v>
      </c>
      <c r="H294" t="s">
        <v>200</v>
      </c>
      <c r="I294">
        <v>191</v>
      </c>
      <c r="J294">
        <v>40</v>
      </c>
      <c r="K294">
        <v>0</v>
      </c>
      <c r="L294" t="s">
        <v>142</v>
      </c>
    </row>
    <row r="295" spans="1:12" x14ac:dyDescent="0.3">
      <c r="A295" t="s">
        <v>944</v>
      </c>
      <c r="B295" t="s">
        <v>945</v>
      </c>
      <c r="C295">
        <v>8</v>
      </c>
      <c r="D295" t="s">
        <v>158</v>
      </c>
      <c r="E295" t="s">
        <v>965</v>
      </c>
      <c r="F295" t="s">
        <v>966</v>
      </c>
      <c r="G295" t="s">
        <v>166</v>
      </c>
      <c r="H295" t="s">
        <v>167</v>
      </c>
      <c r="I295">
        <v>183</v>
      </c>
      <c r="J295">
        <v>108</v>
      </c>
      <c r="K295">
        <v>16</v>
      </c>
      <c r="L295" t="s">
        <v>142</v>
      </c>
    </row>
    <row r="296" spans="1:12" x14ac:dyDescent="0.3">
      <c r="A296" t="s">
        <v>944</v>
      </c>
      <c r="B296" t="s">
        <v>945</v>
      </c>
      <c r="C296">
        <v>9</v>
      </c>
      <c r="D296" t="s">
        <v>163</v>
      </c>
      <c r="E296" t="s">
        <v>967</v>
      </c>
      <c r="F296" t="s">
        <v>968</v>
      </c>
      <c r="G296" t="s">
        <v>291</v>
      </c>
      <c r="H296" t="s">
        <v>200</v>
      </c>
      <c r="I296">
        <v>189</v>
      </c>
      <c r="J296">
        <v>5</v>
      </c>
      <c r="K296">
        <v>0</v>
      </c>
      <c r="L296" t="s">
        <v>142</v>
      </c>
    </row>
    <row r="297" spans="1:12" x14ac:dyDescent="0.3">
      <c r="A297" t="s">
        <v>944</v>
      </c>
      <c r="B297" t="s">
        <v>945</v>
      </c>
      <c r="C297">
        <v>10</v>
      </c>
      <c r="D297" t="s">
        <v>163</v>
      </c>
      <c r="E297" t="s">
        <v>969</v>
      </c>
      <c r="F297" t="s">
        <v>970</v>
      </c>
      <c r="G297" t="s">
        <v>971</v>
      </c>
      <c r="H297" t="s">
        <v>147</v>
      </c>
      <c r="I297">
        <v>175</v>
      </c>
      <c r="J297">
        <v>30</v>
      </c>
      <c r="K297">
        <v>5</v>
      </c>
      <c r="L297" t="s">
        <v>142</v>
      </c>
    </row>
    <row r="298" spans="1:12" x14ac:dyDescent="0.3">
      <c r="A298" t="s">
        <v>944</v>
      </c>
      <c r="B298" t="s">
        <v>945</v>
      </c>
      <c r="C298">
        <v>11</v>
      </c>
      <c r="D298" t="s">
        <v>163</v>
      </c>
      <c r="E298" t="s">
        <v>972</v>
      </c>
      <c r="F298" t="s">
        <v>973</v>
      </c>
      <c r="G298" t="s">
        <v>391</v>
      </c>
      <c r="H298" t="s">
        <v>177</v>
      </c>
      <c r="I298">
        <v>180</v>
      </c>
      <c r="J298">
        <v>14</v>
      </c>
      <c r="K298">
        <v>3</v>
      </c>
      <c r="L298" t="s">
        <v>142</v>
      </c>
    </row>
    <row r="299" spans="1:12" x14ac:dyDescent="0.3">
      <c r="A299" t="s">
        <v>944</v>
      </c>
      <c r="B299" t="s">
        <v>945</v>
      </c>
      <c r="C299">
        <v>12</v>
      </c>
      <c r="D299" t="s">
        <v>163</v>
      </c>
      <c r="E299" t="s">
        <v>974</v>
      </c>
      <c r="F299" t="s">
        <v>975</v>
      </c>
      <c r="G299" t="s">
        <v>190</v>
      </c>
      <c r="H299" t="s">
        <v>147</v>
      </c>
      <c r="I299">
        <v>181</v>
      </c>
      <c r="J299">
        <v>5</v>
      </c>
      <c r="K299">
        <v>0</v>
      </c>
      <c r="L299" t="s">
        <v>142</v>
      </c>
    </row>
    <row r="300" spans="1:12" x14ac:dyDescent="0.3">
      <c r="A300" t="s">
        <v>944</v>
      </c>
      <c r="B300" t="s">
        <v>945</v>
      </c>
      <c r="C300">
        <v>13</v>
      </c>
      <c r="D300" t="s">
        <v>143</v>
      </c>
      <c r="E300" t="s">
        <v>976</v>
      </c>
      <c r="F300" t="s">
        <v>977</v>
      </c>
      <c r="G300" t="s">
        <v>716</v>
      </c>
      <c r="H300" t="s">
        <v>523</v>
      </c>
      <c r="I300">
        <v>183</v>
      </c>
      <c r="J300">
        <v>13</v>
      </c>
      <c r="K300">
        <v>0</v>
      </c>
      <c r="L300" t="s">
        <v>142</v>
      </c>
    </row>
    <row r="301" spans="1:12" x14ac:dyDescent="0.3">
      <c r="A301" t="s">
        <v>944</v>
      </c>
      <c r="B301" t="s">
        <v>945</v>
      </c>
      <c r="C301">
        <v>14</v>
      </c>
      <c r="D301" t="s">
        <v>163</v>
      </c>
      <c r="E301" t="s">
        <v>978</v>
      </c>
      <c r="F301" t="s">
        <v>979</v>
      </c>
      <c r="G301" t="s">
        <v>980</v>
      </c>
      <c r="H301" t="s">
        <v>223</v>
      </c>
      <c r="I301">
        <v>182</v>
      </c>
      <c r="J301">
        <v>31</v>
      </c>
      <c r="K301">
        <v>6</v>
      </c>
      <c r="L301" t="s">
        <v>142</v>
      </c>
    </row>
    <row r="302" spans="1:12" x14ac:dyDescent="0.3">
      <c r="A302" t="s">
        <v>944</v>
      </c>
      <c r="B302" t="s">
        <v>945</v>
      </c>
      <c r="C302">
        <v>15</v>
      </c>
      <c r="D302" t="s">
        <v>163</v>
      </c>
      <c r="E302" t="s">
        <v>981</v>
      </c>
      <c r="F302" t="s">
        <v>982</v>
      </c>
      <c r="G302" t="s">
        <v>248</v>
      </c>
      <c r="H302" t="s">
        <v>194</v>
      </c>
      <c r="I302">
        <v>173</v>
      </c>
      <c r="J302">
        <v>23</v>
      </c>
      <c r="K302">
        <v>8</v>
      </c>
      <c r="L302" t="s">
        <v>142</v>
      </c>
    </row>
    <row r="303" spans="1:12" x14ac:dyDescent="0.3">
      <c r="A303" t="s">
        <v>944</v>
      </c>
      <c r="B303" t="s">
        <v>945</v>
      </c>
      <c r="C303">
        <v>16</v>
      </c>
      <c r="D303" t="s">
        <v>137</v>
      </c>
      <c r="E303" t="s">
        <v>983</v>
      </c>
      <c r="F303" t="s">
        <v>984</v>
      </c>
      <c r="G303" t="s">
        <v>222</v>
      </c>
      <c r="H303" t="s">
        <v>223</v>
      </c>
      <c r="I303">
        <v>186</v>
      </c>
      <c r="J303">
        <v>0</v>
      </c>
      <c r="K303">
        <v>0</v>
      </c>
      <c r="L303" t="s">
        <v>142</v>
      </c>
    </row>
    <row r="304" spans="1:12" x14ac:dyDescent="0.3">
      <c r="A304" t="s">
        <v>944</v>
      </c>
      <c r="B304" t="s">
        <v>945</v>
      </c>
      <c r="C304">
        <v>17</v>
      </c>
      <c r="D304" t="s">
        <v>143</v>
      </c>
      <c r="E304" t="s">
        <v>985</v>
      </c>
      <c r="F304" t="s">
        <v>986</v>
      </c>
      <c r="G304" t="s">
        <v>254</v>
      </c>
      <c r="H304" t="s">
        <v>147</v>
      </c>
      <c r="I304">
        <v>187</v>
      </c>
      <c r="J304">
        <v>24</v>
      </c>
      <c r="K304">
        <v>3</v>
      </c>
      <c r="L304" t="s">
        <v>142</v>
      </c>
    </row>
    <row r="305" spans="1:12" x14ac:dyDescent="0.3">
      <c r="A305" t="s">
        <v>944</v>
      </c>
      <c r="B305" t="s">
        <v>945</v>
      </c>
      <c r="C305">
        <v>18</v>
      </c>
      <c r="D305" t="s">
        <v>158</v>
      </c>
      <c r="E305" t="s">
        <v>987</v>
      </c>
      <c r="F305" t="s">
        <v>866</v>
      </c>
      <c r="G305" t="s">
        <v>988</v>
      </c>
      <c r="H305" t="s">
        <v>194</v>
      </c>
      <c r="I305">
        <v>191</v>
      </c>
      <c r="J305">
        <v>59</v>
      </c>
      <c r="K305">
        <v>11</v>
      </c>
      <c r="L305" t="s">
        <v>142</v>
      </c>
    </row>
    <row r="306" spans="1:12" x14ac:dyDescent="0.3">
      <c r="A306" t="s">
        <v>944</v>
      </c>
      <c r="B306" t="s">
        <v>945</v>
      </c>
      <c r="C306">
        <v>19</v>
      </c>
      <c r="D306" t="s">
        <v>163</v>
      </c>
      <c r="E306" t="s">
        <v>989</v>
      </c>
      <c r="F306" t="s">
        <v>990</v>
      </c>
      <c r="G306" t="s">
        <v>670</v>
      </c>
      <c r="H306" t="s">
        <v>219</v>
      </c>
      <c r="I306">
        <v>183</v>
      </c>
      <c r="J306">
        <v>60</v>
      </c>
      <c r="K306">
        <v>14</v>
      </c>
      <c r="L306" t="s">
        <v>142</v>
      </c>
    </row>
    <row r="307" spans="1:12" x14ac:dyDescent="0.3">
      <c r="A307" t="s">
        <v>944</v>
      </c>
      <c r="B307" t="s">
        <v>945</v>
      </c>
      <c r="C307">
        <v>20</v>
      </c>
      <c r="D307" t="s">
        <v>143</v>
      </c>
      <c r="E307" t="s">
        <v>991</v>
      </c>
      <c r="F307" t="s">
        <v>992</v>
      </c>
      <c r="G307" t="s">
        <v>993</v>
      </c>
      <c r="H307" t="s">
        <v>523</v>
      </c>
      <c r="I307">
        <v>185</v>
      </c>
      <c r="J307">
        <v>24</v>
      </c>
      <c r="K307">
        <v>2</v>
      </c>
      <c r="L307" t="s">
        <v>142</v>
      </c>
    </row>
    <row r="308" spans="1:12" x14ac:dyDescent="0.3">
      <c r="A308" t="s">
        <v>944</v>
      </c>
      <c r="B308" t="s">
        <v>945</v>
      </c>
      <c r="C308">
        <v>21</v>
      </c>
      <c r="D308" t="s">
        <v>143</v>
      </c>
      <c r="E308" t="s">
        <v>994</v>
      </c>
      <c r="F308" t="s">
        <v>995</v>
      </c>
      <c r="G308" t="s">
        <v>996</v>
      </c>
      <c r="H308" t="s">
        <v>200</v>
      </c>
      <c r="I308">
        <v>192</v>
      </c>
      <c r="J308">
        <v>29</v>
      </c>
      <c r="K308">
        <v>0</v>
      </c>
      <c r="L308" t="s">
        <v>142</v>
      </c>
    </row>
    <row r="309" spans="1:12" x14ac:dyDescent="0.3">
      <c r="A309" t="s">
        <v>944</v>
      </c>
      <c r="B309" t="s">
        <v>945</v>
      </c>
      <c r="C309">
        <v>22</v>
      </c>
      <c r="D309" t="s">
        <v>163</v>
      </c>
      <c r="E309" t="s">
        <v>997</v>
      </c>
      <c r="F309" t="s">
        <v>998</v>
      </c>
      <c r="G309" t="s">
        <v>806</v>
      </c>
      <c r="H309" t="s">
        <v>194</v>
      </c>
      <c r="I309">
        <v>188</v>
      </c>
      <c r="J309">
        <v>23</v>
      </c>
      <c r="K309">
        <v>4</v>
      </c>
      <c r="L309" t="s">
        <v>142</v>
      </c>
    </row>
    <row r="310" spans="1:12" x14ac:dyDescent="0.3">
      <c r="A310" t="s">
        <v>944</v>
      </c>
      <c r="B310" t="s">
        <v>945</v>
      </c>
      <c r="C310">
        <v>23</v>
      </c>
      <c r="D310" t="s">
        <v>137</v>
      </c>
      <c r="E310" t="s">
        <v>999</v>
      </c>
      <c r="F310" t="s">
        <v>1000</v>
      </c>
      <c r="G310" t="s">
        <v>1001</v>
      </c>
      <c r="H310" t="s">
        <v>886</v>
      </c>
      <c r="I310">
        <v>196</v>
      </c>
      <c r="J310">
        <v>4</v>
      </c>
      <c r="K310">
        <v>0</v>
      </c>
      <c r="L310" t="s">
        <v>142</v>
      </c>
    </row>
    <row r="311" spans="1:12" x14ac:dyDescent="0.3">
      <c r="A311" t="s">
        <v>944</v>
      </c>
      <c r="B311" t="s">
        <v>945</v>
      </c>
      <c r="C311">
        <v>24</v>
      </c>
      <c r="D311" t="s">
        <v>163</v>
      </c>
      <c r="E311" t="s">
        <v>1002</v>
      </c>
      <c r="F311" t="s">
        <v>1003</v>
      </c>
      <c r="G311" t="s">
        <v>442</v>
      </c>
      <c r="H311" t="s">
        <v>177</v>
      </c>
      <c r="I311">
        <v>178</v>
      </c>
      <c r="J311">
        <v>9</v>
      </c>
      <c r="K311">
        <v>2</v>
      </c>
      <c r="L311" t="s">
        <v>142</v>
      </c>
    </row>
    <row r="312" spans="1:12" x14ac:dyDescent="0.3">
      <c r="A312" t="s">
        <v>944</v>
      </c>
      <c r="B312" t="s">
        <v>945</v>
      </c>
      <c r="C312">
        <v>25</v>
      </c>
      <c r="D312" t="s">
        <v>158</v>
      </c>
      <c r="E312" t="s">
        <v>1004</v>
      </c>
      <c r="F312" t="s">
        <v>1005</v>
      </c>
      <c r="G312" t="s">
        <v>222</v>
      </c>
      <c r="H312" t="s">
        <v>223</v>
      </c>
      <c r="I312">
        <v>165</v>
      </c>
      <c r="J312">
        <v>5</v>
      </c>
      <c r="K312">
        <v>0</v>
      </c>
      <c r="L312" t="s">
        <v>142</v>
      </c>
    </row>
    <row r="313" spans="1:12" x14ac:dyDescent="0.3">
      <c r="A313" t="s">
        <v>944</v>
      </c>
      <c r="B313" t="s">
        <v>945</v>
      </c>
      <c r="C313">
        <v>26</v>
      </c>
      <c r="D313" t="s">
        <v>158</v>
      </c>
      <c r="E313" t="s">
        <v>1006</v>
      </c>
      <c r="F313" t="s">
        <v>1007</v>
      </c>
      <c r="G313" t="s">
        <v>725</v>
      </c>
      <c r="H313" t="s">
        <v>523</v>
      </c>
      <c r="I313">
        <v>173</v>
      </c>
      <c r="J313">
        <v>13</v>
      </c>
      <c r="K313">
        <v>0</v>
      </c>
      <c r="L313" t="s">
        <v>142</v>
      </c>
    </row>
    <row r="314" spans="1:12" x14ac:dyDescent="0.3">
      <c r="A314" t="s">
        <v>66</v>
      </c>
      <c r="B314" t="s">
        <v>573</v>
      </c>
      <c r="C314">
        <v>1</v>
      </c>
      <c r="D314" t="s">
        <v>137</v>
      </c>
      <c r="E314" t="s">
        <v>1008</v>
      </c>
      <c r="F314" t="s">
        <v>1009</v>
      </c>
      <c r="G314" t="s">
        <v>1010</v>
      </c>
      <c r="H314" t="s">
        <v>573</v>
      </c>
      <c r="I314">
        <v>188</v>
      </c>
      <c r="J314">
        <v>79</v>
      </c>
      <c r="K314">
        <v>0</v>
      </c>
      <c r="L314" t="s">
        <v>142</v>
      </c>
    </row>
    <row r="315" spans="1:12" x14ac:dyDescent="0.3">
      <c r="A315" t="s">
        <v>66</v>
      </c>
      <c r="B315" t="s">
        <v>573</v>
      </c>
      <c r="C315">
        <v>2</v>
      </c>
      <c r="D315" t="s">
        <v>143</v>
      </c>
      <c r="E315" t="s">
        <v>1011</v>
      </c>
      <c r="F315" t="s">
        <v>1012</v>
      </c>
      <c r="G315" t="s">
        <v>437</v>
      </c>
      <c r="H315" t="s">
        <v>177</v>
      </c>
      <c r="I315">
        <v>186</v>
      </c>
      <c r="J315">
        <v>35</v>
      </c>
      <c r="K315">
        <v>0</v>
      </c>
      <c r="L315" t="s">
        <v>142</v>
      </c>
    </row>
    <row r="316" spans="1:12" x14ac:dyDescent="0.3">
      <c r="A316" t="s">
        <v>66</v>
      </c>
      <c r="B316" t="s">
        <v>573</v>
      </c>
      <c r="C316">
        <v>3</v>
      </c>
      <c r="D316" t="s">
        <v>143</v>
      </c>
      <c r="E316" t="s">
        <v>1013</v>
      </c>
      <c r="F316" t="s">
        <v>1014</v>
      </c>
      <c r="G316" t="s">
        <v>1015</v>
      </c>
      <c r="H316" t="s">
        <v>200</v>
      </c>
      <c r="I316">
        <v>193</v>
      </c>
      <c r="J316">
        <v>23</v>
      </c>
      <c r="K316">
        <v>0</v>
      </c>
      <c r="L316" t="s">
        <v>142</v>
      </c>
    </row>
    <row r="317" spans="1:12" x14ac:dyDescent="0.3">
      <c r="A317" t="s">
        <v>66</v>
      </c>
      <c r="B317" t="s">
        <v>573</v>
      </c>
      <c r="C317">
        <v>4</v>
      </c>
      <c r="D317" t="s">
        <v>143</v>
      </c>
      <c r="E317" t="s">
        <v>1016</v>
      </c>
      <c r="F317" t="s">
        <v>1017</v>
      </c>
      <c r="G317" t="s">
        <v>193</v>
      </c>
      <c r="H317" t="s">
        <v>194</v>
      </c>
      <c r="I317">
        <v>185</v>
      </c>
      <c r="J317">
        <v>52</v>
      </c>
      <c r="K317">
        <v>4</v>
      </c>
      <c r="L317" t="s">
        <v>142</v>
      </c>
    </row>
    <row r="318" spans="1:12" x14ac:dyDescent="0.3">
      <c r="A318" t="s">
        <v>66</v>
      </c>
      <c r="B318" t="s">
        <v>573</v>
      </c>
      <c r="C318">
        <v>5</v>
      </c>
      <c r="D318" t="s">
        <v>143</v>
      </c>
      <c r="E318" t="s">
        <v>1018</v>
      </c>
      <c r="F318" t="s">
        <v>1019</v>
      </c>
      <c r="G318" t="s">
        <v>1020</v>
      </c>
      <c r="H318" t="s">
        <v>219</v>
      </c>
      <c r="I318">
        <v>193</v>
      </c>
      <c r="J318">
        <v>38</v>
      </c>
      <c r="K318">
        <v>1</v>
      </c>
      <c r="L318" t="s">
        <v>142</v>
      </c>
    </row>
    <row r="319" spans="1:12" x14ac:dyDescent="0.3">
      <c r="A319" t="s">
        <v>66</v>
      </c>
      <c r="B319" t="s">
        <v>573</v>
      </c>
      <c r="C319">
        <v>6</v>
      </c>
      <c r="D319" t="s">
        <v>143</v>
      </c>
      <c r="E319" t="s">
        <v>1021</v>
      </c>
      <c r="F319" t="s">
        <v>1022</v>
      </c>
      <c r="G319" t="s">
        <v>1023</v>
      </c>
      <c r="H319" t="s">
        <v>162</v>
      </c>
      <c r="I319">
        <v>185</v>
      </c>
      <c r="J319">
        <v>37</v>
      </c>
      <c r="K319">
        <v>0</v>
      </c>
      <c r="L319" t="s">
        <v>142</v>
      </c>
    </row>
    <row r="320" spans="1:12" x14ac:dyDescent="0.3">
      <c r="A320" t="s">
        <v>66</v>
      </c>
      <c r="B320" t="s">
        <v>573</v>
      </c>
      <c r="C320">
        <v>7</v>
      </c>
      <c r="D320" t="s">
        <v>158</v>
      </c>
      <c r="E320" t="s">
        <v>1024</v>
      </c>
      <c r="F320" t="s">
        <v>1025</v>
      </c>
      <c r="G320" t="s">
        <v>809</v>
      </c>
      <c r="H320" t="s">
        <v>200</v>
      </c>
      <c r="I320">
        <v>183</v>
      </c>
      <c r="J320">
        <v>10</v>
      </c>
      <c r="K320">
        <v>0</v>
      </c>
      <c r="L320" t="s">
        <v>142</v>
      </c>
    </row>
    <row r="321" spans="1:12" x14ac:dyDescent="0.3">
      <c r="A321" t="s">
        <v>66</v>
      </c>
      <c r="B321" t="s">
        <v>573</v>
      </c>
      <c r="C321">
        <v>8</v>
      </c>
      <c r="D321" t="s">
        <v>158</v>
      </c>
      <c r="E321" t="s">
        <v>1026</v>
      </c>
      <c r="F321" t="s">
        <v>232</v>
      </c>
      <c r="G321" t="s">
        <v>193</v>
      </c>
      <c r="H321" t="s">
        <v>194</v>
      </c>
      <c r="I321">
        <v>178</v>
      </c>
      <c r="J321">
        <v>117</v>
      </c>
      <c r="K321">
        <v>5</v>
      </c>
      <c r="L321" t="s">
        <v>142</v>
      </c>
    </row>
    <row r="322" spans="1:12" x14ac:dyDescent="0.3">
      <c r="A322" t="s">
        <v>66</v>
      </c>
      <c r="B322" t="s">
        <v>573</v>
      </c>
      <c r="C322">
        <v>9</v>
      </c>
      <c r="D322" t="s">
        <v>163</v>
      </c>
      <c r="E322" t="s">
        <v>1027</v>
      </c>
      <c r="F322" t="s">
        <v>1028</v>
      </c>
      <c r="G322" t="s">
        <v>442</v>
      </c>
      <c r="H322" t="s">
        <v>177</v>
      </c>
      <c r="I322">
        <v>177</v>
      </c>
      <c r="J322">
        <v>119</v>
      </c>
      <c r="K322">
        <v>36</v>
      </c>
      <c r="L322" t="s">
        <v>142</v>
      </c>
    </row>
    <row r="323" spans="1:12" x14ac:dyDescent="0.3">
      <c r="A323" t="s">
        <v>66</v>
      </c>
      <c r="B323" t="s">
        <v>573</v>
      </c>
      <c r="C323">
        <v>10</v>
      </c>
      <c r="D323" t="s">
        <v>158</v>
      </c>
      <c r="E323" t="s">
        <v>1029</v>
      </c>
      <c r="F323" t="s">
        <v>1030</v>
      </c>
      <c r="G323" t="s">
        <v>492</v>
      </c>
      <c r="H323" t="s">
        <v>200</v>
      </c>
      <c r="I323">
        <v>172</v>
      </c>
      <c r="J323">
        <v>202</v>
      </c>
      <c r="K323">
        <v>29</v>
      </c>
      <c r="L323" t="s">
        <v>142</v>
      </c>
    </row>
    <row r="324" spans="1:12" x14ac:dyDescent="0.3">
      <c r="A324" t="s">
        <v>66</v>
      </c>
      <c r="B324" t="s">
        <v>573</v>
      </c>
      <c r="C324">
        <v>11</v>
      </c>
      <c r="D324" t="s">
        <v>163</v>
      </c>
      <c r="E324" t="s">
        <v>1031</v>
      </c>
      <c r="F324" t="s">
        <v>1032</v>
      </c>
      <c r="G324" t="s">
        <v>1033</v>
      </c>
      <c r="H324" t="s">
        <v>219</v>
      </c>
      <c r="I324">
        <v>190</v>
      </c>
      <c r="J324">
        <v>41</v>
      </c>
      <c r="K324">
        <v>7</v>
      </c>
      <c r="L324" t="s">
        <v>142</v>
      </c>
    </row>
    <row r="325" spans="1:12" x14ac:dyDescent="0.3">
      <c r="A325" t="s">
        <v>66</v>
      </c>
      <c r="B325" t="s">
        <v>573</v>
      </c>
      <c r="C325">
        <v>12</v>
      </c>
      <c r="D325" t="s">
        <v>137</v>
      </c>
      <c r="E325" t="s">
        <v>1034</v>
      </c>
      <c r="F325" t="s">
        <v>1035</v>
      </c>
      <c r="G325" t="s">
        <v>560</v>
      </c>
      <c r="H325" t="s">
        <v>194</v>
      </c>
      <c r="I325">
        <v>187</v>
      </c>
      <c r="J325">
        <v>0</v>
      </c>
      <c r="K325">
        <v>0</v>
      </c>
      <c r="L325" t="s">
        <v>142</v>
      </c>
    </row>
    <row r="326" spans="1:12" x14ac:dyDescent="0.3">
      <c r="A326" t="s">
        <v>66</v>
      </c>
      <c r="B326" t="s">
        <v>573</v>
      </c>
      <c r="C326">
        <v>13</v>
      </c>
      <c r="D326" t="s">
        <v>158</v>
      </c>
      <c r="E326" t="s">
        <v>1036</v>
      </c>
      <c r="F326" t="s">
        <v>1037</v>
      </c>
      <c r="G326" t="s">
        <v>1038</v>
      </c>
      <c r="H326" t="s">
        <v>200</v>
      </c>
      <c r="I326">
        <v>179</v>
      </c>
      <c r="J326">
        <v>66</v>
      </c>
      <c r="K326">
        <v>11</v>
      </c>
      <c r="L326" t="s">
        <v>142</v>
      </c>
    </row>
    <row r="327" spans="1:12" x14ac:dyDescent="0.3">
      <c r="A327" t="s">
        <v>66</v>
      </c>
      <c r="B327" t="s">
        <v>573</v>
      </c>
      <c r="C327">
        <v>14</v>
      </c>
      <c r="D327" t="s">
        <v>163</v>
      </c>
      <c r="E327" t="s">
        <v>1039</v>
      </c>
      <c r="F327" t="s">
        <v>1040</v>
      </c>
      <c r="G327" t="s">
        <v>447</v>
      </c>
      <c r="H327" t="s">
        <v>162</v>
      </c>
      <c r="I327">
        <v>186</v>
      </c>
      <c r="J327">
        <v>158</v>
      </c>
      <c r="K327">
        <v>39</v>
      </c>
      <c r="L327" t="s">
        <v>142</v>
      </c>
    </row>
    <row r="328" spans="1:12" x14ac:dyDescent="0.3">
      <c r="A328" t="s">
        <v>66</v>
      </c>
      <c r="B328" t="s">
        <v>573</v>
      </c>
      <c r="C328">
        <v>15</v>
      </c>
      <c r="D328" t="s">
        <v>158</v>
      </c>
      <c r="E328" t="s">
        <v>1041</v>
      </c>
      <c r="F328" t="s">
        <v>1042</v>
      </c>
      <c r="G328" t="s">
        <v>495</v>
      </c>
      <c r="H328" t="s">
        <v>200</v>
      </c>
      <c r="I328">
        <v>188</v>
      </c>
      <c r="J328">
        <v>89</v>
      </c>
      <c r="K328">
        <v>12</v>
      </c>
      <c r="L328" t="s">
        <v>142</v>
      </c>
    </row>
    <row r="329" spans="1:12" x14ac:dyDescent="0.3">
      <c r="A329" t="s">
        <v>66</v>
      </c>
      <c r="B329" t="s">
        <v>573</v>
      </c>
      <c r="C329">
        <v>16</v>
      </c>
      <c r="D329" t="s">
        <v>158</v>
      </c>
      <c r="E329" t="s">
        <v>1043</v>
      </c>
      <c r="F329" t="s">
        <v>1044</v>
      </c>
      <c r="G329" t="s">
        <v>277</v>
      </c>
      <c r="H329" t="s">
        <v>200</v>
      </c>
      <c r="I329">
        <v>172</v>
      </c>
      <c r="J329">
        <v>23</v>
      </c>
      <c r="K329">
        <v>2</v>
      </c>
      <c r="L329" t="s">
        <v>142</v>
      </c>
    </row>
    <row r="330" spans="1:12" x14ac:dyDescent="0.3">
      <c r="A330" t="s">
        <v>66</v>
      </c>
      <c r="B330" t="s">
        <v>573</v>
      </c>
      <c r="C330">
        <v>17</v>
      </c>
      <c r="D330" t="s">
        <v>158</v>
      </c>
      <c r="E330" t="s">
        <v>1045</v>
      </c>
      <c r="F330" t="s">
        <v>968</v>
      </c>
      <c r="G330" t="s">
        <v>291</v>
      </c>
      <c r="H330" t="s">
        <v>200</v>
      </c>
      <c r="I330">
        <v>183</v>
      </c>
      <c r="J330">
        <v>21</v>
      </c>
      <c r="K330">
        <v>2</v>
      </c>
      <c r="L330" t="s">
        <v>142</v>
      </c>
    </row>
    <row r="331" spans="1:12" x14ac:dyDescent="0.3">
      <c r="A331" t="s">
        <v>66</v>
      </c>
      <c r="B331" t="s">
        <v>573</v>
      </c>
      <c r="C331">
        <v>18</v>
      </c>
      <c r="D331" t="s">
        <v>143</v>
      </c>
      <c r="E331" t="s">
        <v>1046</v>
      </c>
      <c r="F331" t="s">
        <v>393</v>
      </c>
      <c r="G331" t="s">
        <v>411</v>
      </c>
      <c r="H331" t="s">
        <v>177</v>
      </c>
      <c r="I331">
        <v>181</v>
      </c>
      <c r="J331">
        <v>17</v>
      </c>
      <c r="K331">
        <v>2</v>
      </c>
      <c r="L331" t="s">
        <v>142</v>
      </c>
    </row>
    <row r="332" spans="1:12" x14ac:dyDescent="0.3">
      <c r="A332" t="s">
        <v>66</v>
      </c>
      <c r="B332" t="s">
        <v>573</v>
      </c>
      <c r="C332">
        <v>19</v>
      </c>
      <c r="D332" t="s">
        <v>158</v>
      </c>
      <c r="E332" t="s">
        <v>1047</v>
      </c>
      <c r="F332" t="s">
        <v>1048</v>
      </c>
      <c r="G332" t="s">
        <v>572</v>
      </c>
      <c r="H332" t="s">
        <v>573</v>
      </c>
      <c r="I332">
        <v>177</v>
      </c>
      <c r="J332">
        <v>7</v>
      </c>
      <c r="K332">
        <v>1</v>
      </c>
      <c r="L332" t="s">
        <v>142</v>
      </c>
    </row>
    <row r="333" spans="1:12" x14ac:dyDescent="0.3">
      <c r="A333" t="s">
        <v>66</v>
      </c>
      <c r="B333" t="s">
        <v>573</v>
      </c>
      <c r="C333">
        <v>20</v>
      </c>
      <c r="D333" t="s">
        <v>163</v>
      </c>
      <c r="E333" t="s">
        <v>1049</v>
      </c>
      <c r="F333" t="s">
        <v>1050</v>
      </c>
      <c r="G333" t="s">
        <v>424</v>
      </c>
      <c r="H333" t="s">
        <v>177</v>
      </c>
      <c r="I333">
        <v>194</v>
      </c>
      <c r="J333">
        <v>12</v>
      </c>
      <c r="K333">
        <v>2</v>
      </c>
      <c r="L333" t="s">
        <v>142</v>
      </c>
    </row>
    <row r="334" spans="1:12" x14ac:dyDescent="0.3">
      <c r="A334" t="s">
        <v>66</v>
      </c>
      <c r="B334" t="s">
        <v>573</v>
      </c>
      <c r="C334">
        <v>21</v>
      </c>
      <c r="D334" t="s">
        <v>158</v>
      </c>
      <c r="E334" t="s">
        <v>1051</v>
      </c>
      <c r="F334" t="s">
        <v>1052</v>
      </c>
      <c r="G334" t="s">
        <v>1020</v>
      </c>
      <c r="H334" t="s">
        <v>219</v>
      </c>
      <c r="I334">
        <v>185</v>
      </c>
      <c r="J334">
        <v>22</v>
      </c>
      <c r="K334">
        <v>1</v>
      </c>
      <c r="L334" t="s">
        <v>142</v>
      </c>
    </row>
    <row r="335" spans="1:12" x14ac:dyDescent="0.3">
      <c r="A335" t="s">
        <v>66</v>
      </c>
      <c r="B335" t="s">
        <v>573</v>
      </c>
      <c r="C335">
        <v>22</v>
      </c>
      <c r="D335" t="s">
        <v>143</v>
      </c>
      <c r="E335" t="s">
        <v>1053</v>
      </c>
      <c r="F335" t="s">
        <v>1054</v>
      </c>
      <c r="G335" t="s">
        <v>1055</v>
      </c>
      <c r="H335" t="s">
        <v>177</v>
      </c>
      <c r="I335">
        <v>193</v>
      </c>
      <c r="J335">
        <v>6</v>
      </c>
      <c r="K335">
        <v>1</v>
      </c>
      <c r="L335" t="s">
        <v>142</v>
      </c>
    </row>
    <row r="336" spans="1:12" x14ac:dyDescent="0.3">
      <c r="A336" t="s">
        <v>66</v>
      </c>
      <c r="B336" t="s">
        <v>573</v>
      </c>
      <c r="C336">
        <v>23</v>
      </c>
      <c r="D336" t="s">
        <v>137</v>
      </c>
      <c r="E336" t="s">
        <v>1056</v>
      </c>
      <c r="F336" t="s">
        <v>1057</v>
      </c>
      <c r="G336" t="s">
        <v>1058</v>
      </c>
      <c r="H336" t="s">
        <v>340</v>
      </c>
      <c r="I336">
        <v>190</v>
      </c>
      <c r="J336">
        <v>4</v>
      </c>
      <c r="K336">
        <v>0</v>
      </c>
      <c r="L336" t="s">
        <v>142</v>
      </c>
    </row>
    <row r="337" spans="1:12" x14ac:dyDescent="0.3">
      <c r="A337" t="s">
        <v>66</v>
      </c>
      <c r="B337" t="s">
        <v>573</v>
      </c>
      <c r="C337">
        <v>24</v>
      </c>
      <c r="D337" t="s">
        <v>163</v>
      </c>
      <c r="E337" t="s">
        <v>1059</v>
      </c>
      <c r="F337" t="s">
        <v>1060</v>
      </c>
      <c r="G337" t="s">
        <v>773</v>
      </c>
      <c r="H337" t="s">
        <v>25</v>
      </c>
      <c r="I337">
        <v>177</v>
      </c>
      <c r="J337">
        <v>18</v>
      </c>
      <c r="K337">
        <v>1</v>
      </c>
      <c r="L337" t="s">
        <v>142</v>
      </c>
    </row>
    <row r="338" spans="1:12" x14ac:dyDescent="0.3">
      <c r="A338" t="s">
        <v>66</v>
      </c>
      <c r="B338" t="s">
        <v>573</v>
      </c>
      <c r="C338">
        <v>25</v>
      </c>
      <c r="D338" t="s">
        <v>143</v>
      </c>
      <c r="E338" t="s">
        <v>1061</v>
      </c>
      <c r="F338" t="s">
        <v>1062</v>
      </c>
      <c r="G338" t="s">
        <v>1063</v>
      </c>
      <c r="H338" t="s">
        <v>340</v>
      </c>
      <c r="I338">
        <v>192</v>
      </c>
      <c r="J338">
        <v>13</v>
      </c>
      <c r="K338">
        <v>1</v>
      </c>
      <c r="L338" t="s">
        <v>142</v>
      </c>
    </row>
    <row r="339" spans="1:12" x14ac:dyDescent="0.3">
      <c r="A339" t="s">
        <v>66</v>
      </c>
      <c r="B339" t="s">
        <v>573</v>
      </c>
      <c r="C339">
        <v>26</v>
      </c>
      <c r="D339" t="s">
        <v>163</v>
      </c>
      <c r="E339" t="s">
        <v>1064</v>
      </c>
      <c r="F339" t="s">
        <v>1065</v>
      </c>
      <c r="G339" t="s">
        <v>1066</v>
      </c>
      <c r="H339" t="s">
        <v>25</v>
      </c>
      <c r="I339">
        <v>190</v>
      </c>
      <c r="J339">
        <v>13</v>
      </c>
      <c r="K339">
        <v>2</v>
      </c>
      <c r="L339" t="s">
        <v>142</v>
      </c>
    </row>
    <row r="340" spans="1:12" x14ac:dyDescent="0.3">
      <c r="A340" t="s">
        <v>37</v>
      </c>
      <c r="B340" t="s">
        <v>1067</v>
      </c>
      <c r="C340">
        <v>1</v>
      </c>
      <c r="D340" t="s">
        <v>137</v>
      </c>
      <c r="E340" t="s">
        <v>1068</v>
      </c>
      <c r="F340" t="s">
        <v>1069</v>
      </c>
      <c r="G340" t="s">
        <v>1070</v>
      </c>
      <c r="H340" t="s">
        <v>25</v>
      </c>
      <c r="I340">
        <v>190</v>
      </c>
      <c r="J340">
        <v>75</v>
      </c>
      <c r="K340">
        <v>0</v>
      </c>
      <c r="L340" t="s">
        <v>142</v>
      </c>
    </row>
    <row r="341" spans="1:12" x14ac:dyDescent="0.3">
      <c r="A341" t="s">
        <v>37</v>
      </c>
      <c r="B341" t="s">
        <v>1067</v>
      </c>
      <c r="C341">
        <v>2</v>
      </c>
      <c r="D341" t="s">
        <v>143</v>
      </c>
      <c r="E341" t="s">
        <v>1071</v>
      </c>
      <c r="F341" t="s">
        <v>1072</v>
      </c>
      <c r="G341" t="s">
        <v>1073</v>
      </c>
      <c r="H341" t="s">
        <v>162</v>
      </c>
      <c r="I341">
        <v>174</v>
      </c>
      <c r="J341">
        <v>9</v>
      </c>
      <c r="K341">
        <v>0</v>
      </c>
      <c r="L341" t="s">
        <v>142</v>
      </c>
    </row>
    <row r="342" spans="1:12" x14ac:dyDescent="0.3">
      <c r="A342" t="s">
        <v>37</v>
      </c>
      <c r="B342" t="s">
        <v>1067</v>
      </c>
      <c r="C342">
        <v>3</v>
      </c>
      <c r="D342" t="s">
        <v>143</v>
      </c>
      <c r="E342" t="s">
        <v>1074</v>
      </c>
      <c r="F342" t="s">
        <v>1075</v>
      </c>
      <c r="G342" t="s">
        <v>1076</v>
      </c>
      <c r="H342" t="s">
        <v>167</v>
      </c>
      <c r="I342">
        <v>183</v>
      </c>
      <c r="J342">
        <v>62</v>
      </c>
      <c r="K342">
        <v>1</v>
      </c>
      <c r="L342" t="s">
        <v>142</v>
      </c>
    </row>
    <row r="343" spans="1:12" x14ac:dyDescent="0.3">
      <c r="A343" t="s">
        <v>37</v>
      </c>
      <c r="B343" t="s">
        <v>1067</v>
      </c>
      <c r="C343">
        <v>4</v>
      </c>
      <c r="D343" t="s">
        <v>143</v>
      </c>
      <c r="E343" t="s">
        <v>1077</v>
      </c>
      <c r="F343" t="s">
        <v>1078</v>
      </c>
      <c r="G343" t="s">
        <v>1079</v>
      </c>
      <c r="H343" t="s">
        <v>162</v>
      </c>
      <c r="I343">
        <v>186</v>
      </c>
      <c r="J343">
        <v>29</v>
      </c>
      <c r="K343">
        <v>1</v>
      </c>
      <c r="L343" t="s">
        <v>142</v>
      </c>
    </row>
    <row r="344" spans="1:12" x14ac:dyDescent="0.3">
      <c r="A344" t="s">
        <v>37</v>
      </c>
      <c r="B344" t="s">
        <v>1067</v>
      </c>
      <c r="C344">
        <v>5</v>
      </c>
      <c r="D344" t="s">
        <v>143</v>
      </c>
      <c r="E344" t="s">
        <v>1080</v>
      </c>
      <c r="F344" t="s">
        <v>1081</v>
      </c>
      <c r="G344" t="s">
        <v>684</v>
      </c>
      <c r="H344" t="s">
        <v>162</v>
      </c>
      <c r="I344">
        <v>181</v>
      </c>
      <c r="J344">
        <v>30</v>
      </c>
      <c r="K344">
        <v>0</v>
      </c>
      <c r="L344" t="s">
        <v>142</v>
      </c>
    </row>
    <row r="345" spans="1:12" x14ac:dyDescent="0.3">
      <c r="A345" t="s">
        <v>37</v>
      </c>
      <c r="B345" t="s">
        <v>1067</v>
      </c>
      <c r="C345">
        <v>6</v>
      </c>
      <c r="D345" t="s">
        <v>158</v>
      </c>
      <c r="E345" t="s">
        <v>1082</v>
      </c>
      <c r="F345" t="s">
        <v>1083</v>
      </c>
      <c r="G345" t="s">
        <v>1079</v>
      </c>
      <c r="H345" t="s">
        <v>162</v>
      </c>
      <c r="I345">
        <v>178</v>
      </c>
      <c r="J345">
        <v>30</v>
      </c>
      <c r="K345">
        <v>1</v>
      </c>
      <c r="L345" t="s">
        <v>142</v>
      </c>
    </row>
    <row r="346" spans="1:12" x14ac:dyDescent="0.3">
      <c r="A346" t="s">
        <v>37</v>
      </c>
      <c r="B346" t="s">
        <v>1067</v>
      </c>
      <c r="C346">
        <v>7</v>
      </c>
      <c r="D346" t="s">
        <v>158</v>
      </c>
      <c r="E346" t="s">
        <v>1084</v>
      </c>
      <c r="F346" t="s">
        <v>1085</v>
      </c>
      <c r="G346" t="s">
        <v>1086</v>
      </c>
      <c r="H346" t="s">
        <v>162</v>
      </c>
      <c r="I346">
        <v>178</v>
      </c>
      <c r="J346">
        <v>53</v>
      </c>
      <c r="K346">
        <v>14</v>
      </c>
      <c r="L346" t="s">
        <v>142</v>
      </c>
    </row>
    <row r="347" spans="1:12" x14ac:dyDescent="0.3">
      <c r="A347" t="s">
        <v>37</v>
      </c>
      <c r="B347" t="s">
        <v>1067</v>
      </c>
      <c r="C347">
        <v>8</v>
      </c>
      <c r="D347" t="s">
        <v>158</v>
      </c>
      <c r="E347" t="s">
        <v>1087</v>
      </c>
      <c r="F347" t="s">
        <v>1088</v>
      </c>
      <c r="G347" t="s">
        <v>1089</v>
      </c>
      <c r="H347" t="s">
        <v>141</v>
      </c>
      <c r="I347">
        <v>185</v>
      </c>
      <c r="J347">
        <v>23</v>
      </c>
      <c r="K347">
        <v>3</v>
      </c>
      <c r="L347" t="s">
        <v>142</v>
      </c>
    </row>
    <row r="348" spans="1:12" x14ac:dyDescent="0.3">
      <c r="A348" t="s">
        <v>37</v>
      </c>
      <c r="B348" t="s">
        <v>1067</v>
      </c>
      <c r="C348">
        <v>9</v>
      </c>
      <c r="D348" t="s">
        <v>163</v>
      </c>
      <c r="E348" t="s">
        <v>1090</v>
      </c>
      <c r="F348" t="s">
        <v>942</v>
      </c>
      <c r="G348" t="s">
        <v>1070</v>
      </c>
      <c r="H348" t="s">
        <v>25</v>
      </c>
      <c r="I348">
        <v>193</v>
      </c>
      <c r="J348">
        <v>16</v>
      </c>
      <c r="K348">
        <v>1</v>
      </c>
      <c r="L348" t="s">
        <v>142</v>
      </c>
    </row>
    <row r="349" spans="1:12" x14ac:dyDescent="0.3">
      <c r="A349" t="s">
        <v>37</v>
      </c>
      <c r="B349" t="s">
        <v>1067</v>
      </c>
      <c r="C349">
        <v>10</v>
      </c>
      <c r="D349" t="s">
        <v>158</v>
      </c>
      <c r="E349" t="s">
        <v>1091</v>
      </c>
      <c r="F349" t="s">
        <v>1092</v>
      </c>
      <c r="G349" t="s">
        <v>713</v>
      </c>
      <c r="H349" t="s">
        <v>523</v>
      </c>
      <c r="I349">
        <v>180</v>
      </c>
      <c r="J349">
        <v>75</v>
      </c>
      <c r="K349">
        <v>16</v>
      </c>
      <c r="L349" t="s">
        <v>142</v>
      </c>
    </row>
    <row r="350" spans="1:12" x14ac:dyDescent="0.3">
      <c r="A350" t="s">
        <v>37</v>
      </c>
      <c r="B350" t="s">
        <v>1067</v>
      </c>
      <c r="C350">
        <v>11</v>
      </c>
      <c r="D350" t="s">
        <v>163</v>
      </c>
      <c r="E350" t="s">
        <v>1093</v>
      </c>
      <c r="F350" t="s">
        <v>1094</v>
      </c>
      <c r="G350" t="s">
        <v>1095</v>
      </c>
      <c r="H350" t="s">
        <v>886</v>
      </c>
      <c r="I350">
        <v>164</v>
      </c>
      <c r="J350">
        <v>29</v>
      </c>
      <c r="K350">
        <v>4</v>
      </c>
      <c r="L350" t="s">
        <v>142</v>
      </c>
    </row>
    <row r="351" spans="1:12" x14ac:dyDescent="0.3">
      <c r="A351" t="s">
        <v>37</v>
      </c>
      <c r="B351" t="s">
        <v>1067</v>
      </c>
      <c r="C351">
        <v>12</v>
      </c>
      <c r="D351" t="s">
        <v>163</v>
      </c>
      <c r="E351" t="s">
        <v>1096</v>
      </c>
      <c r="F351" t="s">
        <v>1097</v>
      </c>
      <c r="G351" t="s">
        <v>742</v>
      </c>
      <c r="H351" t="s">
        <v>194</v>
      </c>
      <c r="I351">
        <v>176</v>
      </c>
      <c r="J351">
        <v>7</v>
      </c>
      <c r="K351">
        <v>1</v>
      </c>
      <c r="L351" t="s">
        <v>142</v>
      </c>
    </row>
    <row r="352" spans="1:12" x14ac:dyDescent="0.3">
      <c r="A352" t="s">
        <v>37</v>
      </c>
      <c r="B352" t="s">
        <v>1067</v>
      </c>
      <c r="C352">
        <v>13</v>
      </c>
      <c r="D352" t="s">
        <v>163</v>
      </c>
      <c r="E352" t="s">
        <v>1098</v>
      </c>
      <c r="F352" t="s">
        <v>1099</v>
      </c>
      <c r="G352" t="s">
        <v>1100</v>
      </c>
      <c r="H352" t="s">
        <v>162</v>
      </c>
      <c r="I352">
        <v>182</v>
      </c>
      <c r="J352">
        <v>8</v>
      </c>
      <c r="K352">
        <v>1</v>
      </c>
      <c r="L352" t="s">
        <v>142</v>
      </c>
    </row>
    <row r="353" spans="1:12" x14ac:dyDescent="0.3">
      <c r="A353" t="s">
        <v>37</v>
      </c>
      <c r="B353" t="s">
        <v>1067</v>
      </c>
      <c r="C353">
        <v>14</v>
      </c>
      <c r="D353" t="s">
        <v>163</v>
      </c>
      <c r="E353" t="s">
        <v>1101</v>
      </c>
      <c r="F353" t="s">
        <v>1102</v>
      </c>
      <c r="G353" t="s">
        <v>1103</v>
      </c>
      <c r="H353" t="s">
        <v>733</v>
      </c>
      <c r="I353">
        <v>174</v>
      </c>
      <c r="J353">
        <v>39</v>
      </c>
      <c r="K353">
        <v>6</v>
      </c>
      <c r="L353" t="s">
        <v>142</v>
      </c>
    </row>
    <row r="354" spans="1:12" x14ac:dyDescent="0.3">
      <c r="A354" t="s">
        <v>37</v>
      </c>
      <c r="B354" t="s">
        <v>1067</v>
      </c>
      <c r="C354">
        <v>15</v>
      </c>
      <c r="D354" t="s">
        <v>158</v>
      </c>
      <c r="E354" t="s">
        <v>1104</v>
      </c>
      <c r="F354" t="s">
        <v>1105</v>
      </c>
      <c r="G354" t="s">
        <v>1106</v>
      </c>
      <c r="H354" t="s">
        <v>194</v>
      </c>
      <c r="I354">
        <v>180</v>
      </c>
      <c r="J354">
        <v>9</v>
      </c>
      <c r="K354">
        <v>2</v>
      </c>
      <c r="L354" t="s">
        <v>142</v>
      </c>
    </row>
    <row r="355" spans="1:12" x14ac:dyDescent="0.3">
      <c r="A355" t="s">
        <v>37</v>
      </c>
      <c r="B355" t="s">
        <v>1067</v>
      </c>
      <c r="C355">
        <v>16</v>
      </c>
      <c r="D355" t="s">
        <v>163</v>
      </c>
      <c r="E355" t="s">
        <v>1107</v>
      </c>
      <c r="F355" t="s">
        <v>1108</v>
      </c>
      <c r="G355" t="s">
        <v>1109</v>
      </c>
      <c r="H355" t="s">
        <v>223</v>
      </c>
      <c r="I355">
        <v>181</v>
      </c>
      <c r="J355">
        <v>24</v>
      </c>
      <c r="K355">
        <v>5</v>
      </c>
      <c r="L355" t="s">
        <v>142</v>
      </c>
    </row>
    <row r="356" spans="1:12" x14ac:dyDescent="0.3">
      <c r="A356" t="s">
        <v>37</v>
      </c>
      <c r="B356" t="s">
        <v>1067</v>
      </c>
      <c r="C356">
        <v>17</v>
      </c>
      <c r="D356" t="s">
        <v>163</v>
      </c>
      <c r="E356" t="s">
        <v>1110</v>
      </c>
      <c r="F356" t="s">
        <v>1111</v>
      </c>
      <c r="G356" t="s">
        <v>1086</v>
      </c>
      <c r="H356" t="s">
        <v>162</v>
      </c>
      <c r="I356">
        <v>181</v>
      </c>
      <c r="J356">
        <v>37</v>
      </c>
      <c r="K356">
        <v>2</v>
      </c>
      <c r="L356" t="s">
        <v>142</v>
      </c>
    </row>
    <row r="357" spans="1:12" x14ac:dyDescent="0.3">
      <c r="A357" t="s">
        <v>37</v>
      </c>
      <c r="B357" t="s">
        <v>1067</v>
      </c>
      <c r="C357">
        <v>18</v>
      </c>
      <c r="D357" t="s">
        <v>143</v>
      </c>
      <c r="E357" t="s">
        <v>1112</v>
      </c>
      <c r="F357" t="s">
        <v>1113</v>
      </c>
      <c r="G357" t="s">
        <v>447</v>
      </c>
      <c r="H357" t="s">
        <v>162</v>
      </c>
      <c r="I357">
        <v>185</v>
      </c>
      <c r="J357">
        <v>9</v>
      </c>
      <c r="K357">
        <v>0</v>
      </c>
      <c r="L357" t="s">
        <v>142</v>
      </c>
    </row>
    <row r="358" spans="1:12" x14ac:dyDescent="0.3">
      <c r="A358" t="s">
        <v>37</v>
      </c>
      <c r="B358" t="s">
        <v>1067</v>
      </c>
      <c r="C358">
        <v>19</v>
      </c>
      <c r="D358" t="s">
        <v>163</v>
      </c>
      <c r="E358" t="s">
        <v>1114</v>
      </c>
      <c r="F358" t="s">
        <v>1115</v>
      </c>
      <c r="G358" t="s">
        <v>1116</v>
      </c>
      <c r="H358" t="s">
        <v>1117</v>
      </c>
      <c r="I358">
        <v>189</v>
      </c>
      <c r="J358">
        <v>32</v>
      </c>
      <c r="K358">
        <v>9</v>
      </c>
      <c r="L358" t="s">
        <v>142</v>
      </c>
    </row>
    <row r="359" spans="1:12" x14ac:dyDescent="0.3">
      <c r="A359" t="s">
        <v>37</v>
      </c>
      <c r="B359" t="s">
        <v>1067</v>
      </c>
      <c r="C359">
        <v>20</v>
      </c>
      <c r="D359" t="s">
        <v>143</v>
      </c>
      <c r="E359" t="s">
        <v>1118</v>
      </c>
      <c r="F359" t="s">
        <v>1119</v>
      </c>
      <c r="G359" t="s">
        <v>1120</v>
      </c>
      <c r="H359" t="s">
        <v>523</v>
      </c>
      <c r="I359">
        <v>181</v>
      </c>
      <c r="J359">
        <v>20</v>
      </c>
      <c r="K359">
        <v>2</v>
      </c>
      <c r="L359" t="s">
        <v>142</v>
      </c>
    </row>
    <row r="360" spans="1:12" x14ac:dyDescent="0.3">
      <c r="A360" t="s">
        <v>37</v>
      </c>
      <c r="B360" t="s">
        <v>1067</v>
      </c>
      <c r="C360">
        <v>21</v>
      </c>
      <c r="D360" t="s">
        <v>158</v>
      </c>
      <c r="E360" t="s">
        <v>1121</v>
      </c>
      <c r="F360" t="s">
        <v>1122</v>
      </c>
      <c r="G360" t="s">
        <v>1123</v>
      </c>
      <c r="H360" t="s">
        <v>194</v>
      </c>
      <c r="I360">
        <v>185</v>
      </c>
      <c r="J360">
        <v>9</v>
      </c>
      <c r="K360">
        <v>3</v>
      </c>
      <c r="L360" t="s">
        <v>142</v>
      </c>
    </row>
    <row r="361" spans="1:12" x14ac:dyDescent="0.3">
      <c r="A361" t="s">
        <v>37</v>
      </c>
      <c r="B361" t="s">
        <v>1067</v>
      </c>
      <c r="C361">
        <v>22</v>
      </c>
      <c r="D361" t="s">
        <v>158</v>
      </c>
      <c r="E361" t="s">
        <v>1124</v>
      </c>
      <c r="F361" t="s">
        <v>1125</v>
      </c>
      <c r="G361" t="s">
        <v>1126</v>
      </c>
      <c r="H361" t="s">
        <v>162</v>
      </c>
      <c r="I361">
        <v>174</v>
      </c>
      <c r="J361">
        <v>19</v>
      </c>
      <c r="K361">
        <v>1</v>
      </c>
      <c r="L361" t="s">
        <v>142</v>
      </c>
    </row>
    <row r="362" spans="1:12" x14ac:dyDescent="0.3">
      <c r="A362" t="s">
        <v>37</v>
      </c>
      <c r="B362" t="s">
        <v>1067</v>
      </c>
      <c r="C362">
        <v>23</v>
      </c>
      <c r="D362" t="s">
        <v>143</v>
      </c>
      <c r="E362" t="s">
        <v>1127</v>
      </c>
      <c r="F362" t="s">
        <v>1128</v>
      </c>
      <c r="G362" t="s">
        <v>1129</v>
      </c>
      <c r="H362" t="s">
        <v>523</v>
      </c>
      <c r="I362">
        <v>184</v>
      </c>
      <c r="J362">
        <v>6</v>
      </c>
      <c r="K362">
        <v>0</v>
      </c>
      <c r="L362" t="s">
        <v>142</v>
      </c>
    </row>
    <row r="363" spans="1:12" x14ac:dyDescent="0.3">
      <c r="A363" t="s">
        <v>37</v>
      </c>
      <c r="B363" t="s">
        <v>1067</v>
      </c>
      <c r="C363">
        <v>24</v>
      </c>
      <c r="D363" t="s">
        <v>143</v>
      </c>
      <c r="E363" t="s">
        <v>1130</v>
      </c>
      <c r="F363" t="s">
        <v>1131</v>
      </c>
      <c r="G363" t="s">
        <v>1132</v>
      </c>
      <c r="H363" t="s">
        <v>162</v>
      </c>
      <c r="I363">
        <v>188</v>
      </c>
      <c r="J363">
        <v>5</v>
      </c>
      <c r="K363">
        <v>0</v>
      </c>
      <c r="L363" t="s">
        <v>142</v>
      </c>
    </row>
    <row r="364" spans="1:12" x14ac:dyDescent="0.3">
      <c r="A364" t="s">
        <v>37</v>
      </c>
      <c r="B364" t="s">
        <v>1067</v>
      </c>
      <c r="C364">
        <v>25</v>
      </c>
      <c r="D364" t="s">
        <v>137</v>
      </c>
      <c r="E364" t="s">
        <v>1133</v>
      </c>
      <c r="F364" t="s">
        <v>1134</v>
      </c>
      <c r="G364" t="s">
        <v>1100</v>
      </c>
      <c r="H364" t="s">
        <v>162</v>
      </c>
      <c r="I364">
        <v>190</v>
      </c>
      <c r="J364">
        <v>4</v>
      </c>
      <c r="K364">
        <v>0</v>
      </c>
      <c r="L364" t="s">
        <v>142</v>
      </c>
    </row>
    <row r="365" spans="1:12" x14ac:dyDescent="0.3">
      <c r="A365" t="s">
        <v>37</v>
      </c>
      <c r="B365" t="s">
        <v>1067</v>
      </c>
      <c r="C365">
        <v>26</v>
      </c>
      <c r="D365" t="s">
        <v>137</v>
      </c>
      <c r="E365" t="s">
        <v>1135</v>
      </c>
      <c r="F365" t="s">
        <v>1136</v>
      </c>
      <c r="G365" t="s">
        <v>1137</v>
      </c>
      <c r="H365" t="s">
        <v>162</v>
      </c>
      <c r="I365">
        <v>188</v>
      </c>
      <c r="J365">
        <v>8</v>
      </c>
      <c r="K365">
        <v>0</v>
      </c>
      <c r="L365" t="s">
        <v>142</v>
      </c>
    </row>
    <row r="366" spans="1:12" x14ac:dyDescent="0.3">
      <c r="A366" t="s">
        <v>21</v>
      </c>
      <c r="B366" t="s">
        <v>415</v>
      </c>
      <c r="C366">
        <v>1</v>
      </c>
      <c r="D366" t="s">
        <v>137</v>
      </c>
      <c r="E366" t="s">
        <v>1138</v>
      </c>
      <c r="F366" t="s">
        <v>1139</v>
      </c>
      <c r="G366" t="s">
        <v>447</v>
      </c>
      <c r="H366" t="s">
        <v>162</v>
      </c>
      <c r="I366">
        <v>196</v>
      </c>
      <c r="J366">
        <v>23</v>
      </c>
      <c r="K366">
        <v>0</v>
      </c>
      <c r="L366" t="s">
        <v>142</v>
      </c>
    </row>
    <row r="367" spans="1:12" x14ac:dyDescent="0.3">
      <c r="A367" t="s">
        <v>21</v>
      </c>
      <c r="B367" t="s">
        <v>415</v>
      </c>
      <c r="C367">
        <v>2</v>
      </c>
      <c r="D367" t="s">
        <v>143</v>
      </c>
      <c r="E367" t="s">
        <v>1140</v>
      </c>
      <c r="F367" t="s">
        <v>1141</v>
      </c>
      <c r="G367" t="s">
        <v>1142</v>
      </c>
      <c r="H367" t="s">
        <v>415</v>
      </c>
      <c r="I367">
        <v>190</v>
      </c>
      <c r="J367">
        <v>26</v>
      </c>
      <c r="K367">
        <v>1</v>
      </c>
      <c r="L367" t="s">
        <v>142</v>
      </c>
    </row>
    <row r="368" spans="1:12" x14ac:dyDescent="0.3">
      <c r="A368" t="s">
        <v>21</v>
      </c>
      <c r="B368" t="s">
        <v>415</v>
      </c>
      <c r="C368">
        <v>3</v>
      </c>
      <c r="D368" t="s">
        <v>143</v>
      </c>
      <c r="E368" t="s">
        <v>1143</v>
      </c>
      <c r="F368" t="s">
        <v>1144</v>
      </c>
      <c r="G368" t="s">
        <v>1142</v>
      </c>
      <c r="H368" t="s">
        <v>415</v>
      </c>
      <c r="I368">
        <v>180</v>
      </c>
      <c r="J368">
        <v>43</v>
      </c>
      <c r="K368">
        <v>2</v>
      </c>
      <c r="L368" t="s">
        <v>142</v>
      </c>
    </row>
    <row r="369" spans="1:12" x14ac:dyDescent="0.3">
      <c r="A369" t="s">
        <v>21</v>
      </c>
      <c r="B369" t="s">
        <v>415</v>
      </c>
      <c r="C369">
        <v>4</v>
      </c>
      <c r="D369" t="s">
        <v>143</v>
      </c>
      <c r="E369" t="s">
        <v>1145</v>
      </c>
      <c r="F369" t="s">
        <v>1146</v>
      </c>
      <c r="G369" t="s">
        <v>442</v>
      </c>
      <c r="H369" t="s">
        <v>177</v>
      </c>
      <c r="I369">
        <v>189</v>
      </c>
      <c r="J369">
        <v>17</v>
      </c>
      <c r="K369">
        <v>1</v>
      </c>
      <c r="L369" t="s">
        <v>142</v>
      </c>
    </row>
    <row r="370" spans="1:12" x14ac:dyDescent="0.3">
      <c r="A370" t="s">
        <v>21</v>
      </c>
      <c r="B370" t="s">
        <v>415</v>
      </c>
      <c r="C370">
        <v>5</v>
      </c>
      <c r="D370" t="s">
        <v>143</v>
      </c>
      <c r="E370" t="s">
        <v>1147</v>
      </c>
      <c r="F370" t="s">
        <v>1148</v>
      </c>
      <c r="G370" t="s">
        <v>442</v>
      </c>
      <c r="H370" t="s">
        <v>177</v>
      </c>
      <c r="I370">
        <v>175</v>
      </c>
      <c r="J370">
        <v>65</v>
      </c>
      <c r="K370">
        <v>2</v>
      </c>
      <c r="L370" t="s">
        <v>142</v>
      </c>
    </row>
    <row r="371" spans="1:12" x14ac:dyDescent="0.3">
      <c r="A371" t="s">
        <v>21</v>
      </c>
      <c r="B371" t="s">
        <v>415</v>
      </c>
      <c r="C371">
        <v>6</v>
      </c>
      <c r="D371" t="s">
        <v>143</v>
      </c>
      <c r="E371" t="s">
        <v>1149</v>
      </c>
      <c r="F371" t="s">
        <v>1150</v>
      </c>
      <c r="G371" t="s">
        <v>1142</v>
      </c>
      <c r="H371" t="s">
        <v>415</v>
      </c>
      <c r="I371">
        <v>188</v>
      </c>
      <c r="J371">
        <v>6</v>
      </c>
      <c r="K371">
        <v>0</v>
      </c>
      <c r="L371" t="s">
        <v>142</v>
      </c>
    </row>
    <row r="372" spans="1:12" x14ac:dyDescent="0.3">
      <c r="A372" t="s">
        <v>21</v>
      </c>
      <c r="B372" t="s">
        <v>415</v>
      </c>
      <c r="C372">
        <v>7</v>
      </c>
      <c r="D372" t="s">
        <v>143</v>
      </c>
      <c r="E372" t="s">
        <v>1151</v>
      </c>
      <c r="F372" t="s">
        <v>850</v>
      </c>
      <c r="G372" t="s">
        <v>1152</v>
      </c>
      <c r="H372" t="s">
        <v>194</v>
      </c>
      <c r="I372">
        <v>191</v>
      </c>
      <c r="J372">
        <v>30</v>
      </c>
      <c r="K372">
        <v>6</v>
      </c>
      <c r="L372" t="s">
        <v>142</v>
      </c>
    </row>
    <row r="373" spans="1:12" x14ac:dyDescent="0.3">
      <c r="A373" t="s">
        <v>21</v>
      </c>
      <c r="B373" t="s">
        <v>415</v>
      </c>
      <c r="C373">
        <v>8</v>
      </c>
      <c r="D373" t="s">
        <v>158</v>
      </c>
      <c r="E373" t="s">
        <v>1153</v>
      </c>
      <c r="F373" t="s">
        <v>1154</v>
      </c>
      <c r="G373" t="s">
        <v>1155</v>
      </c>
      <c r="H373" t="s">
        <v>415</v>
      </c>
      <c r="I373">
        <v>172</v>
      </c>
      <c r="J373">
        <v>80</v>
      </c>
      <c r="K373">
        <v>8</v>
      </c>
      <c r="L373" t="s">
        <v>142</v>
      </c>
    </row>
    <row r="374" spans="1:12" x14ac:dyDescent="0.3">
      <c r="A374" t="s">
        <v>21</v>
      </c>
      <c r="B374" t="s">
        <v>415</v>
      </c>
      <c r="C374">
        <v>9</v>
      </c>
      <c r="D374" t="s">
        <v>163</v>
      </c>
      <c r="E374" t="s">
        <v>1156</v>
      </c>
      <c r="F374" t="s">
        <v>1157</v>
      </c>
      <c r="G374" t="s">
        <v>442</v>
      </c>
      <c r="H374" t="s">
        <v>177</v>
      </c>
      <c r="I374">
        <v>188</v>
      </c>
      <c r="J374">
        <v>46</v>
      </c>
      <c r="K374">
        <v>5</v>
      </c>
      <c r="L374" t="s">
        <v>142</v>
      </c>
    </row>
    <row r="375" spans="1:12" x14ac:dyDescent="0.3">
      <c r="A375" t="s">
        <v>21</v>
      </c>
      <c r="B375" t="s">
        <v>415</v>
      </c>
      <c r="C375">
        <v>10</v>
      </c>
      <c r="D375" t="s">
        <v>163</v>
      </c>
      <c r="E375" t="s">
        <v>1158</v>
      </c>
      <c r="F375" t="s">
        <v>747</v>
      </c>
      <c r="G375" t="s">
        <v>215</v>
      </c>
      <c r="H375" t="s">
        <v>177</v>
      </c>
      <c r="I375">
        <v>191</v>
      </c>
      <c r="J375">
        <v>56</v>
      </c>
      <c r="K375">
        <v>26</v>
      </c>
      <c r="L375" t="s">
        <v>142</v>
      </c>
    </row>
    <row r="376" spans="1:12" x14ac:dyDescent="0.3">
      <c r="A376" t="s">
        <v>21</v>
      </c>
      <c r="B376" t="s">
        <v>415</v>
      </c>
      <c r="C376">
        <v>11</v>
      </c>
      <c r="D376" t="s">
        <v>163</v>
      </c>
      <c r="E376" t="s">
        <v>1159</v>
      </c>
      <c r="F376" t="s">
        <v>1160</v>
      </c>
      <c r="G376" t="s">
        <v>1161</v>
      </c>
      <c r="H376" t="s">
        <v>415</v>
      </c>
      <c r="I376">
        <v>185</v>
      </c>
      <c r="J376">
        <v>31</v>
      </c>
      <c r="K376">
        <v>3</v>
      </c>
      <c r="L376" t="s">
        <v>142</v>
      </c>
    </row>
    <row r="377" spans="1:12" x14ac:dyDescent="0.3">
      <c r="A377" t="s">
        <v>21</v>
      </c>
      <c r="B377" t="s">
        <v>415</v>
      </c>
      <c r="C377">
        <v>12</v>
      </c>
      <c r="D377" t="s">
        <v>158</v>
      </c>
      <c r="E377" t="s">
        <v>1162</v>
      </c>
      <c r="F377" t="s">
        <v>1163</v>
      </c>
      <c r="G377" t="s">
        <v>414</v>
      </c>
      <c r="H377" t="s">
        <v>415</v>
      </c>
      <c r="I377">
        <v>182</v>
      </c>
      <c r="J377">
        <v>19</v>
      </c>
      <c r="K377">
        <v>2</v>
      </c>
      <c r="L377" t="s">
        <v>142</v>
      </c>
    </row>
    <row r="378" spans="1:12" x14ac:dyDescent="0.3">
      <c r="A378" t="s">
        <v>21</v>
      </c>
      <c r="B378" t="s">
        <v>415</v>
      </c>
      <c r="C378">
        <v>13</v>
      </c>
      <c r="D378" t="s">
        <v>163</v>
      </c>
      <c r="E378" t="s">
        <v>1164</v>
      </c>
      <c r="F378" t="s">
        <v>1165</v>
      </c>
      <c r="G378" t="s">
        <v>1142</v>
      </c>
      <c r="H378" t="s">
        <v>415</v>
      </c>
      <c r="I378">
        <v>187</v>
      </c>
      <c r="J378">
        <v>23</v>
      </c>
      <c r="K378">
        <v>6</v>
      </c>
      <c r="L378" t="s">
        <v>142</v>
      </c>
    </row>
    <row r="379" spans="1:12" x14ac:dyDescent="0.3">
      <c r="A379" t="s">
        <v>21</v>
      </c>
      <c r="B379" t="s">
        <v>415</v>
      </c>
      <c r="C379">
        <v>14</v>
      </c>
      <c r="D379" t="s">
        <v>143</v>
      </c>
      <c r="E379" t="s">
        <v>1166</v>
      </c>
      <c r="F379" t="s">
        <v>1167</v>
      </c>
      <c r="G379" t="s">
        <v>1142</v>
      </c>
      <c r="H379" t="s">
        <v>415</v>
      </c>
      <c r="I379">
        <v>183</v>
      </c>
      <c r="J379">
        <v>18</v>
      </c>
      <c r="K379">
        <v>1</v>
      </c>
      <c r="L379" t="s">
        <v>142</v>
      </c>
    </row>
    <row r="380" spans="1:12" x14ac:dyDescent="0.3">
      <c r="A380" t="s">
        <v>21</v>
      </c>
      <c r="B380" t="s">
        <v>415</v>
      </c>
      <c r="C380">
        <v>15</v>
      </c>
      <c r="D380" t="s">
        <v>163</v>
      </c>
      <c r="E380" t="s">
        <v>1168</v>
      </c>
      <c r="F380" t="s">
        <v>1169</v>
      </c>
      <c r="G380" t="s">
        <v>239</v>
      </c>
      <c r="H380" t="s">
        <v>147</v>
      </c>
      <c r="I380">
        <v>177</v>
      </c>
      <c r="J380">
        <v>24</v>
      </c>
      <c r="K380">
        <v>5</v>
      </c>
      <c r="L380" t="s">
        <v>142</v>
      </c>
    </row>
    <row r="381" spans="1:12" x14ac:dyDescent="0.3">
      <c r="A381" t="s">
        <v>21</v>
      </c>
      <c r="B381" t="s">
        <v>415</v>
      </c>
      <c r="C381">
        <v>16</v>
      </c>
      <c r="D381" t="s">
        <v>137</v>
      </c>
      <c r="E381" t="s">
        <v>1170</v>
      </c>
      <c r="F381" t="s">
        <v>1171</v>
      </c>
      <c r="G381" t="s">
        <v>1142</v>
      </c>
      <c r="H381" t="s">
        <v>415</v>
      </c>
      <c r="I381">
        <v>192</v>
      </c>
      <c r="J381">
        <v>14</v>
      </c>
      <c r="K381">
        <v>0</v>
      </c>
      <c r="L381" t="s">
        <v>142</v>
      </c>
    </row>
    <row r="382" spans="1:12" x14ac:dyDescent="0.3">
      <c r="A382" t="s">
        <v>21</v>
      </c>
      <c r="B382" t="s">
        <v>415</v>
      </c>
      <c r="C382">
        <v>17</v>
      </c>
      <c r="D382" t="s">
        <v>158</v>
      </c>
      <c r="E382" t="s">
        <v>1172</v>
      </c>
      <c r="F382" t="s">
        <v>1173</v>
      </c>
      <c r="G382" t="s">
        <v>1142</v>
      </c>
      <c r="H382" t="s">
        <v>415</v>
      </c>
      <c r="I382">
        <v>191</v>
      </c>
      <c r="J382">
        <v>41</v>
      </c>
      <c r="K382">
        <v>3</v>
      </c>
      <c r="L382" t="s">
        <v>142</v>
      </c>
    </row>
    <row r="383" spans="1:12" x14ac:dyDescent="0.3">
      <c r="A383" t="s">
        <v>21</v>
      </c>
      <c r="B383" t="s">
        <v>415</v>
      </c>
      <c r="C383">
        <v>18</v>
      </c>
      <c r="D383" t="s">
        <v>158</v>
      </c>
      <c r="E383" t="s">
        <v>1174</v>
      </c>
      <c r="F383" t="s">
        <v>1175</v>
      </c>
      <c r="G383" t="s">
        <v>1142</v>
      </c>
      <c r="H383" t="s">
        <v>415</v>
      </c>
      <c r="I383">
        <v>169</v>
      </c>
      <c r="J383">
        <v>38</v>
      </c>
      <c r="K383">
        <v>2</v>
      </c>
      <c r="L383" t="s">
        <v>142</v>
      </c>
    </row>
    <row r="384" spans="1:12" x14ac:dyDescent="0.3">
      <c r="A384" t="s">
        <v>21</v>
      </c>
      <c r="B384" t="s">
        <v>415</v>
      </c>
      <c r="C384">
        <v>19</v>
      </c>
      <c r="D384" t="s">
        <v>163</v>
      </c>
      <c r="E384" t="s">
        <v>1176</v>
      </c>
      <c r="F384" t="s">
        <v>1177</v>
      </c>
      <c r="G384" t="s">
        <v>1142</v>
      </c>
      <c r="H384" t="s">
        <v>415</v>
      </c>
      <c r="I384">
        <v>199</v>
      </c>
      <c r="J384">
        <v>24</v>
      </c>
      <c r="K384">
        <v>7</v>
      </c>
      <c r="L384" t="s">
        <v>142</v>
      </c>
    </row>
    <row r="385" spans="1:12" x14ac:dyDescent="0.3">
      <c r="A385" t="s">
        <v>21</v>
      </c>
      <c r="B385" t="s">
        <v>415</v>
      </c>
      <c r="C385">
        <v>20</v>
      </c>
      <c r="D385" t="s">
        <v>143</v>
      </c>
      <c r="E385" t="s">
        <v>1178</v>
      </c>
      <c r="F385" t="s">
        <v>1179</v>
      </c>
      <c r="G385" t="s">
        <v>1161</v>
      </c>
      <c r="H385" t="s">
        <v>415</v>
      </c>
      <c r="I385">
        <v>190</v>
      </c>
      <c r="J385">
        <v>25</v>
      </c>
      <c r="K385">
        <v>0</v>
      </c>
      <c r="L385" t="s">
        <v>142</v>
      </c>
    </row>
    <row r="386" spans="1:12" x14ac:dyDescent="0.3">
      <c r="A386" t="s">
        <v>21</v>
      </c>
      <c r="B386" t="s">
        <v>415</v>
      </c>
      <c r="C386">
        <v>21</v>
      </c>
      <c r="D386" t="s">
        <v>143</v>
      </c>
      <c r="E386" t="s">
        <v>1180</v>
      </c>
      <c r="F386" t="s">
        <v>1181</v>
      </c>
      <c r="G386" t="s">
        <v>1142</v>
      </c>
      <c r="H386" t="s">
        <v>415</v>
      </c>
      <c r="I386">
        <v>175</v>
      </c>
      <c r="J386">
        <v>18</v>
      </c>
      <c r="K386">
        <v>2</v>
      </c>
      <c r="L386" t="s">
        <v>142</v>
      </c>
    </row>
    <row r="387" spans="1:12" x14ac:dyDescent="0.3">
      <c r="A387" t="s">
        <v>21</v>
      </c>
      <c r="B387" t="s">
        <v>415</v>
      </c>
      <c r="C387">
        <v>22</v>
      </c>
      <c r="D387" t="s">
        <v>158</v>
      </c>
      <c r="E387" t="s">
        <v>1182</v>
      </c>
      <c r="F387" t="s">
        <v>1183</v>
      </c>
      <c r="G387" t="s">
        <v>876</v>
      </c>
      <c r="H387" t="s">
        <v>194</v>
      </c>
      <c r="I387">
        <v>192</v>
      </c>
      <c r="J387">
        <v>93</v>
      </c>
      <c r="K387">
        <v>17</v>
      </c>
      <c r="L387" t="s">
        <v>142</v>
      </c>
    </row>
    <row r="388" spans="1:12" x14ac:dyDescent="0.3">
      <c r="A388" t="s">
        <v>21</v>
      </c>
      <c r="B388" t="s">
        <v>415</v>
      </c>
      <c r="C388">
        <v>23</v>
      </c>
      <c r="D388" t="s">
        <v>137</v>
      </c>
      <c r="E388" t="s">
        <v>1184</v>
      </c>
      <c r="F388" t="s">
        <v>1185</v>
      </c>
      <c r="G388" t="s">
        <v>408</v>
      </c>
      <c r="H388" t="s">
        <v>281</v>
      </c>
      <c r="I388">
        <v>198</v>
      </c>
      <c r="J388">
        <v>1</v>
      </c>
      <c r="K388">
        <v>0</v>
      </c>
      <c r="L388" t="s">
        <v>142</v>
      </c>
    </row>
    <row r="389" spans="1:12" x14ac:dyDescent="0.3">
      <c r="A389" t="s">
        <v>21</v>
      </c>
      <c r="B389" t="s">
        <v>415</v>
      </c>
      <c r="C389">
        <v>24</v>
      </c>
      <c r="D389" t="s">
        <v>158</v>
      </c>
      <c r="E389" t="s">
        <v>1186</v>
      </c>
      <c r="F389" t="s">
        <v>1187</v>
      </c>
      <c r="G389" t="s">
        <v>414</v>
      </c>
      <c r="H389" t="s">
        <v>415</v>
      </c>
      <c r="I389">
        <v>188</v>
      </c>
      <c r="J389">
        <v>5</v>
      </c>
      <c r="K389">
        <v>0</v>
      </c>
      <c r="L389" t="s">
        <v>142</v>
      </c>
    </row>
    <row r="390" spans="1:12" x14ac:dyDescent="0.3">
      <c r="A390" t="s">
        <v>21</v>
      </c>
      <c r="B390" t="s">
        <v>415</v>
      </c>
      <c r="C390">
        <v>25</v>
      </c>
      <c r="D390" t="s">
        <v>158</v>
      </c>
      <c r="E390" t="s">
        <v>1188</v>
      </c>
      <c r="F390" t="s">
        <v>1189</v>
      </c>
      <c r="G390" t="s">
        <v>1161</v>
      </c>
      <c r="H390" t="s">
        <v>415</v>
      </c>
      <c r="I390">
        <v>183</v>
      </c>
      <c r="J390">
        <v>1</v>
      </c>
      <c r="K390">
        <v>0</v>
      </c>
      <c r="L390" t="s">
        <v>142</v>
      </c>
    </row>
    <row r="391" spans="1:12" x14ac:dyDescent="0.3">
      <c r="A391" t="s">
        <v>21</v>
      </c>
      <c r="B391" t="s">
        <v>415</v>
      </c>
      <c r="C391">
        <v>26</v>
      </c>
      <c r="D391" t="s">
        <v>163</v>
      </c>
      <c r="E391" t="s">
        <v>1190</v>
      </c>
      <c r="F391" t="s">
        <v>1191</v>
      </c>
      <c r="G391" t="s">
        <v>414</v>
      </c>
      <c r="H391" t="s">
        <v>415</v>
      </c>
      <c r="I391">
        <v>178</v>
      </c>
      <c r="J391">
        <v>3</v>
      </c>
      <c r="K391">
        <v>1</v>
      </c>
      <c r="L391" t="s">
        <v>142</v>
      </c>
    </row>
    <row r="392" spans="1:12" x14ac:dyDescent="0.3">
      <c r="A392" t="s">
        <v>41</v>
      </c>
      <c r="B392" t="s">
        <v>1192</v>
      </c>
      <c r="C392">
        <v>1</v>
      </c>
      <c r="D392" t="s">
        <v>137</v>
      </c>
      <c r="E392" t="s">
        <v>1193</v>
      </c>
      <c r="F392" t="s">
        <v>1194</v>
      </c>
      <c r="G392" t="s">
        <v>1195</v>
      </c>
      <c r="H392" t="s">
        <v>230</v>
      </c>
      <c r="I392">
        <v>189</v>
      </c>
      <c r="J392">
        <v>39</v>
      </c>
      <c r="K392">
        <v>0</v>
      </c>
      <c r="L392" t="s">
        <v>142</v>
      </c>
    </row>
    <row r="393" spans="1:12" x14ac:dyDescent="0.3">
      <c r="A393" t="s">
        <v>41</v>
      </c>
      <c r="B393" t="s">
        <v>1192</v>
      </c>
      <c r="C393">
        <v>2</v>
      </c>
      <c r="D393" t="s">
        <v>143</v>
      </c>
      <c r="E393" t="s">
        <v>1196</v>
      </c>
      <c r="F393" t="s">
        <v>1197</v>
      </c>
      <c r="G393" t="s">
        <v>1198</v>
      </c>
      <c r="H393" t="s">
        <v>288</v>
      </c>
      <c r="I393">
        <v>187</v>
      </c>
      <c r="J393">
        <v>50</v>
      </c>
      <c r="K393">
        <v>5</v>
      </c>
      <c r="L393" t="s">
        <v>142</v>
      </c>
    </row>
    <row r="394" spans="1:12" x14ac:dyDescent="0.3">
      <c r="A394" t="s">
        <v>41</v>
      </c>
      <c r="B394" t="s">
        <v>1192</v>
      </c>
      <c r="C394">
        <v>3</v>
      </c>
      <c r="D394" t="s">
        <v>143</v>
      </c>
      <c r="E394" t="s">
        <v>1199</v>
      </c>
      <c r="F394" t="s">
        <v>1200</v>
      </c>
      <c r="G394" t="s">
        <v>479</v>
      </c>
      <c r="H394" t="s">
        <v>194</v>
      </c>
      <c r="I394">
        <v>183</v>
      </c>
      <c r="J394">
        <v>56</v>
      </c>
      <c r="K394">
        <v>2</v>
      </c>
      <c r="L394" t="s">
        <v>142</v>
      </c>
    </row>
    <row r="395" spans="1:12" x14ac:dyDescent="0.3">
      <c r="A395" t="s">
        <v>41</v>
      </c>
      <c r="B395" t="s">
        <v>1192</v>
      </c>
      <c r="C395">
        <v>4</v>
      </c>
      <c r="D395" t="s">
        <v>143</v>
      </c>
      <c r="E395" t="s">
        <v>1201</v>
      </c>
      <c r="F395" t="s">
        <v>1202</v>
      </c>
      <c r="G395" t="s">
        <v>463</v>
      </c>
      <c r="H395" t="s">
        <v>223</v>
      </c>
      <c r="I395">
        <v>188</v>
      </c>
      <c r="J395">
        <v>20</v>
      </c>
      <c r="K395">
        <v>0</v>
      </c>
      <c r="L395" t="s">
        <v>142</v>
      </c>
    </row>
    <row r="396" spans="1:12" x14ac:dyDescent="0.3">
      <c r="A396" t="s">
        <v>41</v>
      </c>
      <c r="B396" t="s">
        <v>1192</v>
      </c>
      <c r="C396">
        <v>5</v>
      </c>
      <c r="D396" t="s">
        <v>158</v>
      </c>
      <c r="E396" t="s">
        <v>1203</v>
      </c>
      <c r="F396" t="s">
        <v>1204</v>
      </c>
      <c r="G396" t="s">
        <v>1205</v>
      </c>
      <c r="H396" t="s">
        <v>1192</v>
      </c>
      <c r="I396">
        <v>168</v>
      </c>
      <c r="J396">
        <v>12</v>
      </c>
      <c r="K396">
        <v>1</v>
      </c>
      <c r="L396" t="s">
        <v>142</v>
      </c>
    </row>
    <row r="397" spans="1:12" x14ac:dyDescent="0.3">
      <c r="A397" t="s">
        <v>41</v>
      </c>
      <c r="B397" t="s">
        <v>1192</v>
      </c>
      <c r="C397">
        <v>6</v>
      </c>
      <c r="D397" t="s">
        <v>143</v>
      </c>
      <c r="E397" t="s">
        <v>1206</v>
      </c>
      <c r="F397" t="s">
        <v>1207</v>
      </c>
      <c r="G397" t="s">
        <v>597</v>
      </c>
      <c r="H397" t="s">
        <v>147</v>
      </c>
      <c r="I397">
        <v>188</v>
      </c>
      <c r="J397">
        <v>38</v>
      </c>
      <c r="K397">
        <v>2</v>
      </c>
      <c r="L397" t="s">
        <v>142</v>
      </c>
    </row>
    <row r="398" spans="1:12" x14ac:dyDescent="0.3">
      <c r="A398" t="s">
        <v>41</v>
      </c>
      <c r="B398" t="s">
        <v>1192</v>
      </c>
      <c r="C398">
        <v>7</v>
      </c>
      <c r="D398" t="s">
        <v>143</v>
      </c>
      <c r="E398" t="s">
        <v>1208</v>
      </c>
      <c r="F398" t="s">
        <v>1209</v>
      </c>
      <c r="G398" t="s">
        <v>492</v>
      </c>
      <c r="H398" t="s">
        <v>200</v>
      </c>
      <c r="I398">
        <v>175</v>
      </c>
      <c r="J398">
        <v>56</v>
      </c>
      <c r="K398">
        <v>5</v>
      </c>
      <c r="L398" t="s">
        <v>142</v>
      </c>
    </row>
    <row r="399" spans="1:12" x14ac:dyDescent="0.3">
      <c r="A399" t="s">
        <v>41</v>
      </c>
      <c r="B399" t="s">
        <v>1192</v>
      </c>
      <c r="C399">
        <v>8</v>
      </c>
      <c r="D399" t="s">
        <v>158</v>
      </c>
      <c r="E399" t="s">
        <v>1210</v>
      </c>
      <c r="F399" t="s">
        <v>1211</v>
      </c>
      <c r="G399" t="s">
        <v>1212</v>
      </c>
      <c r="H399" t="s">
        <v>223</v>
      </c>
      <c r="I399">
        <v>173</v>
      </c>
      <c r="J399">
        <v>3</v>
      </c>
      <c r="K399">
        <v>1</v>
      </c>
      <c r="L399" t="s">
        <v>142</v>
      </c>
    </row>
    <row r="400" spans="1:12" x14ac:dyDescent="0.3">
      <c r="A400" t="s">
        <v>41</v>
      </c>
      <c r="B400" t="s">
        <v>1192</v>
      </c>
      <c r="C400">
        <v>9</v>
      </c>
      <c r="D400" t="s">
        <v>163</v>
      </c>
      <c r="E400" t="s">
        <v>1213</v>
      </c>
      <c r="F400" t="s">
        <v>1214</v>
      </c>
      <c r="G400" t="s">
        <v>450</v>
      </c>
      <c r="H400" t="s">
        <v>200</v>
      </c>
      <c r="I400">
        <v>170</v>
      </c>
      <c r="J400">
        <v>26</v>
      </c>
      <c r="K400">
        <v>3</v>
      </c>
      <c r="L400" t="s">
        <v>142</v>
      </c>
    </row>
    <row r="401" spans="1:12" x14ac:dyDescent="0.3">
      <c r="A401" t="s">
        <v>41</v>
      </c>
      <c r="B401" t="s">
        <v>1192</v>
      </c>
      <c r="C401">
        <v>10</v>
      </c>
      <c r="D401" t="s">
        <v>158</v>
      </c>
      <c r="E401" t="s">
        <v>1215</v>
      </c>
      <c r="F401" t="s">
        <v>1216</v>
      </c>
      <c r="G401" t="s">
        <v>242</v>
      </c>
      <c r="H401" t="s">
        <v>230</v>
      </c>
      <c r="I401">
        <v>178</v>
      </c>
      <c r="J401">
        <v>27</v>
      </c>
      <c r="K401">
        <v>2</v>
      </c>
      <c r="L401" t="s">
        <v>142</v>
      </c>
    </row>
    <row r="402" spans="1:12" x14ac:dyDescent="0.3">
      <c r="A402" t="s">
        <v>41</v>
      </c>
      <c r="B402" t="s">
        <v>1192</v>
      </c>
      <c r="C402">
        <v>11</v>
      </c>
      <c r="D402" t="s">
        <v>163</v>
      </c>
      <c r="E402" t="s">
        <v>1217</v>
      </c>
      <c r="F402" t="s">
        <v>1218</v>
      </c>
      <c r="G402" t="s">
        <v>793</v>
      </c>
      <c r="H402" t="s">
        <v>223</v>
      </c>
      <c r="I402">
        <v>190</v>
      </c>
      <c r="J402">
        <v>35</v>
      </c>
      <c r="K402">
        <v>2</v>
      </c>
      <c r="L402" t="s">
        <v>142</v>
      </c>
    </row>
    <row r="403" spans="1:12" x14ac:dyDescent="0.3">
      <c r="A403" t="s">
        <v>41</v>
      </c>
      <c r="B403" t="s">
        <v>1192</v>
      </c>
      <c r="C403">
        <v>12</v>
      </c>
      <c r="D403" t="s">
        <v>137</v>
      </c>
      <c r="E403" t="s">
        <v>1219</v>
      </c>
      <c r="F403" t="s">
        <v>1220</v>
      </c>
      <c r="G403" t="s">
        <v>1095</v>
      </c>
      <c r="H403" t="s">
        <v>886</v>
      </c>
      <c r="I403">
        <v>185</v>
      </c>
      <c r="J403">
        <v>7</v>
      </c>
      <c r="K403">
        <v>0</v>
      </c>
      <c r="L403" t="s">
        <v>142</v>
      </c>
    </row>
    <row r="404" spans="1:12" x14ac:dyDescent="0.3">
      <c r="A404" t="s">
        <v>41</v>
      </c>
      <c r="B404" t="s">
        <v>1192</v>
      </c>
      <c r="C404">
        <v>13</v>
      </c>
      <c r="D404" t="s">
        <v>163</v>
      </c>
      <c r="E404" t="s">
        <v>1221</v>
      </c>
      <c r="F404" t="s">
        <v>1222</v>
      </c>
      <c r="G404" t="s">
        <v>1223</v>
      </c>
      <c r="H404" t="s">
        <v>831</v>
      </c>
      <c r="I404">
        <v>177</v>
      </c>
      <c r="J404">
        <v>109</v>
      </c>
      <c r="K404">
        <v>49</v>
      </c>
      <c r="L404" t="s">
        <v>142</v>
      </c>
    </row>
    <row r="405" spans="1:12" x14ac:dyDescent="0.3">
      <c r="A405" t="s">
        <v>41</v>
      </c>
      <c r="B405" t="s">
        <v>1192</v>
      </c>
      <c r="C405">
        <v>14</v>
      </c>
      <c r="D405" t="s">
        <v>158</v>
      </c>
      <c r="E405" t="s">
        <v>1224</v>
      </c>
      <c r="F405" t="s">
        <v>1225</v>
      </c>
      <c r="G405" t="s">
        <v>1226</v>
      </c>
      <c r="H405" t="s">
        <v>288</v>
      </c>
      <c r="I405">
        <v>174</v>
      </c>
      <c r="J405">
        <v>21</v>
      </c>
      <c r="K405">
        <v>2</v>
      </c>
      <c r="L405" t="s">
        <v>142</v>
      </c>
    </row>
    <row r="406" spans="1:12" x14ac:dyDescent="0.3">
      <c r="A406" t="s">
        <v>41</v>
      </c>
      <c r="B406" t="s">
        <v>1192</v>
      </c>
      <c r="C406">
        <v>15</v>
      </c>
      <c r="D406" t="s">
        <v>158</v>
      </c>
      <c r="E406" t="s">
        <v>1227</v>
      </c>
      <c r="F406" t="s">
        <v>1228</v>
      </c>
      <c r="G406" t="s">
        <v>1229</v>
      </c>
      <c r="H406" t="s">
        <v>831</v>
      </c>
      <c r="I406">
        <v>172</v>
      </c>
      <c r="J406">
        <v>21</v>
      </c>
      <c r="K406">
        <v>1</v>
      </c>
      <c r="L406" t="s">
        <v>142</v>
      </c>
    </row>
    <row r="407" spans="1:12" x14ac:dyDescent="0.3">
      <c r="A407" t="s">
        <v>41</v>
      </c>
      <c r="B407" t="s">
        <v>1192</v>
      </c>
      <c r="C407">
        <v>16</v>
      </c>
      <c r="D407" t="s">
        <v>163</v>
      </c>
      <c r="E407" t="s">
        <v>1230</v>
      </c>
      <c r="F407" t="s">
        <v>1231</v>
      </c>
      <c r="G407" t="s">
        <v>1195</v>
      </c>
      <c r="H407" t="s">
        <v>230</v>
      </c>
      <c r="I407">
        <v>186</v>
      </c>
      <c r="J407">
        <v>23</v>
      </c>
      <c r="K407">
        <v>4</v>
      </c>
      <c r="L407" t="s">
        <v>142</v>
      </c>
    </row>
    <row r="408" spans="1:12" x14ac:dyDescent="0.3">
      <c r="A408" t="s">
        <v>41</v>
      </c>
      <c r="B408" t="s">
        <v>1192</v>
      </c>
      <c r="C408">
        <v>17</v>
      </c>
      <c r="D408" t="s">
        <v>143</v>
      </c>
      <c r="E408" t="s">
        <v>1232</v>
      </c>
      <c r="F408" t="s">
        <v>1233</v>
      </c>
      <c r="G408" t="s">
        <v>1226</v>
      </c>
      <c r="H408" t="s">
        <v>288</v>
      </c>
      <c r="I408">
        <v>174</v>
      </c>
      <c r="J408">
        <v>60</v>
      </c>
      <c r="K408">
        <v>0</v>
      </c>
      <c r="L408" t="s">
        <v>142</v>
      </c>
    </row>
    <row r="409" spans="1:12" x14ac:dyDescent="0.3">
      <c r="A409" t="s">
        <v>41</v>
      </c>
      <c r="B409" t="s">
        <v>1192</v>
      </c>
      <c r="C409">
        <v>18</v>
      </c>
      <c r="D409" t="s">
        <v>158</v>
      </c>
      <c r="E409" t="s">
        <v>1234</v>
      </c>
      <c r="F409" t="s">
        <v>1235</v>
      </c>
      <c r="G409" t="s">
        <v>1063</v>
      </c>
      <c r="H409" t="s">
        <v>340</v>
      </c>
      <c r="I409">
        <v>189</v>
      </c>
      <c r="J409">
        <v>5</v>
      </c>
      <c r="K409">
        <v>0</v>
      </c>
      <c r="L409" t="s">
        <v>142</v>
      </c>
    </row>
    <row r="410" spans="1:12" x14ac:dyDescent="0.3">
      <c r="A410" t="s">
        <v>41</v>
      </c>
      <c r="B410" t="s">
        <v>1192</v>
      </c>
      <c r="C410">
        <v>19</v>
      </c>
      <c r="D410" t="s">
        <v>163</v>
      </c>
      <c r="E410" t="s">
        <v>1236</v>
      </c>
      <c r="F410" t="s">
        <v>1237</v>
      </c>
      <c r="G410" t="s">
        <v>602</v>
      </c>
      <c r="H410" t="s">
        <v>288</v>
      </c>
      <c r="I410">
        <v>178</v>
      </c>
      <c r="J410">
        <v>54</v>
      </c>
      <c r="K410">
        <v>9</v>
      </c>
      <c r="L410" t="s">
        <v>142</v>
      </c>
    </row>
    <row r="411" spans="1:12" x14ac:dyDescent="0.3">
      <c r="A411" t="s">
        <v>41</v>
      </c>
      <c r="B411" t="s">
        <v>1192</v>
      </c>
      <c r="C411">
        <v>20</v>
      </c>
      <c r="D411" t="s">
        <v>163</v>
      </c>
      <c r="E411" t="s">
        <v>1238</v>
      </c>
      <c r="F411" t="s">
        <v>1239</v>
      </c>
      <c r="G411" t="s">
        <v>910</v>
      </c>
      <c r="H411" t="s">
        <v>194</v>
      </c>
      <c r="I411">
        <v>184</v>
      </c>
      <c r="J411">
        <v>18</v>
      </c>
      <c r="K411">
        <v>3</v>
      </c>
      <c r="L411" t="s">
        <v>142</v>
      </c>
    </row>
    <row r="412" spans="1:12" x14ac:dyDescent="0.3">
      <c r="A412" t="s">
        <v>41</v>
      </c>
      <c r="B412" t="s">
        <v>1192</v>
      </c>
      <c r="C412">
        <v>21</v>
      </c>
      <c r="D412" t="s">
        <v>158</v>
      </c>
      <c r="E412" t="s">
        <v>1240</v>
      </c>
      <c r="F412" t="s">
        <v>1241</v>
      </c>
      <c r="G412" t="s">
        <v>1226</v>
      </c>
      <c r="H412" t="s">
        <v>288</v>
      </c>
      <c r="I412">
        <v>175</v>
      </c>
      <c r="J412">
        <v>62</v>
      </c>
      <c r="K412">
        <v>1</v>
      </c>
      <c r="L412" t="s">
        <v>142</v>
      </c>
    </row>
    <row r="413" spans="1:12" x14ac:dyDescent="0.3">
      <c r="A413" t="s">
        <v>41</v>
      </c>
      <c r="B413" t="s">
        <v>1192</v>
      </c>
      <c r="C413">
        <v>22</v>
      </c>
      <c r="D413" t="s">
        <v>137</v>
      </c>
      <c r="E413" t="s">
        <v>1242</v>
      </c>
      <c r="F413" t="s">
        <v>1243</v>
      </c>
      <c r="G413" t="s">
        <v>1244</v>
      </c>
      <c r="H413" t="s">
        <v>1192</v>
      </c>
      <c r="I413">
        <v>186</v>
      </c>
      <c r="J413">
        <v>4</v>
      </c>
      <c r="K413">
        <v>0</v>
      </c>
      <c r="L413" t="s">
        <v>142</v>
      </c>
    </row>
    <row r="414" spans="1:12" x14ac:dyDescent="0.3">
      <c r="A414" t="s">
        <v>41</v>
      </c>
      <c r="B414" t="s">
        <v>1192</v>
      </c>
      <c r="C414">
        <v>23</v>
      </c>
      <c r="D414" t="s">
        <v>158</v>
      </c>
      <c r="E414" t="s">
        <v>1245</v>
      </c>
      <c r="F414" t="s">
        <v>1246</v>
      </c>
      <c r="G414" t="s">
        <v>297</v>
      </c>
      <c r="H414" t="s">
        <v>194</v>
      </c>
      <c r="I414">
        <v>178</v>
      </c>
      <c r="J414">
        <v>65</v>
      </c>
      <c r="K414">
        <v>3</v>
      </c>
      <c r="L414" t="s">
        <v>142</v>
      </c>
    </row>
    <row r="415" spans="1:12" x14ac:dyDescent="0.3">
      <c r="A415" t="s">
        <v>41</v>
      </c>
      <c r="B415" t="s">
        <v>1192</v>
      </c>
      <c r="C415">
        <v>24</v>
      </c>
      <c r="D415" t="s">
        <v>163</v>
      </c>
      <c r="E415" t="s">
        <v>1247</v>
      </c>
      <c r="F415" t="s">
        <v>1248</v>
      </c>
      <c r="G415" t="s">
        <v>543</v>
      </c>
      <c r="H415" t="s">
        <v>177</v>
      </c>
      <c r="I415">
        <v>182</v>
      </c>
      <c r="J415">
        <v>4</v>
      </c>
      <c r="K415">
        <v>0</v>
      </c>
      <c r="L415" t="s">
        <v>142</v>
      </c>
    </row>
    <row r="416" spans="1:12" x14ac:dyDescent="0.3">
      <c r="A416" t="s">
        <v>41</v>
      </c>
      <c r="B416" t="s">
        <v>1192</v>
      </c>
      <c r="C416">
        <v>25</v>
      </c>
      <c r="D416" t="s">
        <v>143</v>
      </c>
      <c r="E416" t="s">
        <v>1249</v>
      </c>
      <c r="F416" t="s">
        <v>1250</v>
      </c>
      <c r="G416" t="s">
        <v>1251</v>
      </c>
      <c r="H416" t="s">
        <v>831</v>
      </c>
      <c r="I416">
        <v>192</v>
      </c>
      <c r="J416">
        <v>10</v>
      </c>
      <c r="K416">
        <v>1</v>
      </c>
      <c r="L416" t="s">
        <v>142</v>
      </c>
    </row>
    <row r="417" spans="1:12" x14ac:dyDescent="0.3">
      <c r="A417" t="s">
        <v>41</v>
      </c>
      <c r="B417" t="s">
        <v>1192</v>
      </c>
      <c r="C417">
        <v>26</v>
      </c>
      <c r="D417" t="s">
        <v>143</v>
      </c>
      <c r="E417" t="s">
        <v>1252</v>
      </c>
      <c r="F417" t="s">
        <v>1253</v>
      </c>
      <c r="G417" t="s">
        <v>904</v>
      </c>
      <c r="H417" t="s">
        <v>223</v>
      </c>
      <c r="I417">
        <v>173</v>
      </c>
      <c r="J417">
        <v>7</v>
      </c>
      <c r="K417">
        <v>0</v>
      </c>
      <c r="L417" t="s">
        <v>142</v>
      </c>
    </row>
    <row r="418" spans="1:12" x14ac:dyDescent="0.3">
      <c r="A418" t="s">
        <v>48</v>
      </c>
      <c r="B418" t="s">
        <v>926</v>
      </c>
      <c r="C418">
        <v>1</v>
      </c>
      <c r="D418" t="s">
        <v>137</v>
      </c>
      <c r="E418" t="s">
        <v>1254</v>
      </c>
      <c r="F418" t="s">
        <v>1255</v>
      </c>
      <c r="G418" t="s">
        <v>1256</v>
      </c>
      <c r="H418" t="s">
        <v>926</v>
      </c>
      <c r="I418">
        <v>191</v>
      </c>
      <c r="J418">
        <v>77</v>
      </c>
      <c r="K418">
        <v>0</v>
      </c>
      <c r="L418" t="s">
        <v>142</v>
      </c>
    </row>
    <row r="419" spans="1:12" x14ac:dyDescent="0.3">
      <c r="A419" t="s">
        <v>48</v>
      </c>
      <c r="B419" t="s">
        <v>926</v>
      </c>
      <c r="C419">
        <v>2</v>
      </c>
      <c r="D419" t="s">
        <v>143</v>
      </c>
      <c r="E419" t="s">
        <v>1257</v>
      </c>
      <c r="F419" t="s">
        <v>1258</v>
      </c>
      <c r="G419" t="s">
        <v>1256</v>
      </c>
      <c r="H419" t="s">
        <v>926</v>
      </c>
      <c r="I419">
        <v>185</v>
      </c>
      <c r="J419">
        <v>23</v>
      </c>
      <c r="K419">
        <v>2</v>
      </c>
      <c r="L419" t="s">
        <v>142</v>
      </c>
    </row>
    <row r="420" spans="1:12" x14ac:dyDescent="0.3">
      <c r="A420" t="s">
        <v>48</v>
      </c>
      <c r="B420" t="s">
        <v>926</v>
      </c>
      <c r="C420">
        <v>3</v>
      </c>
      <c r="D420" t="s">
        <v>143</v>
      </c>
      <c r="E420" t="s">
        <v>1259</v>
      </c>
      <c r="F420" t="s">
        <v>1260</v>
      </c>
      <c r="G420" t="s">
        <v>1256</v>
      </c>
      <c r="H420" t="s">
        <v>926</v>
      </c>
      <c r="I420">
        <v>175</v>
      </c>
      <c r="J420">
        <v>48</v>
      </c>
      <c r="K420">
        <v>0</v>
      </c>
      <c r="L420" t="s">
        <v>142</v>
      </c>
    </row>
    <row r="421" spans="1:12" x14ac:dyDescent="0.3">
      <c r="A421" t="s">
        <v>48</v>
      </c>
      <c r="B421" t="s">
        <v>926</v>
      </c>
      <c r="C421">
        <v>4</v>
      </c>
      <c r="D421" t="s">
        <v>143</v>
      </c>
      <c r="E421" t="s">
        <v>1261</v>
      </c>
      <c r="F421" t="s">
        <v>1262</v>
      </c>
      <c r="G421" t="s">
        <v>1263</v>
      </c>
      <c r="H421" t="s">
        <v>926</v>
      </c>
      <c r="I421">
        <v>193</v>
      </c>
      <c r="J421">
        <v>15</v>
      </c>
      <c r="K421">
        <v>0</v>
      </c>
      <c r="L421" t="s">
        <v>142</v>
      </c>
    </row>
    <row r="422" spans="1:12" x14ac:dyDescent="0.3">
      <c r="A422" t="s">
        <v>48</v>
      </c>
      <c r="B422" t="s">
        <v>926</v>
      </c>
      <c r="C422">
        <v>5</v>
      </c>
      <c r="D422" t="s">
        <v>143</v>
      </c>
      <c r="E422" t="s">
        <v>1264</v>
      </c>
      <c r="F422" t="s">
        <v>1265</v>
      </c>
      <c r="G422" t="s">
        <v>1266</v>
      </c>
      <c r="H422" t="s">
        <v>663</v>
      </c>
      <c r="I422">
        <v>183</v>
      </c>
      <c r="J422">
        <v>52</v>
      </c>
      <c r="K422">
        <v>6</v>
      </c>
      <c r="L422" t="s">
        <v>142</v>
      </c>
    </row>
    <row r="423" spans="1:12" x14ac:dyDescent="0.3">
      <c r="A423" t="s">
        <v>48</v>
      </c>
      <c r="B423" t="s">
        <v>926</v>
      </c>
      <c r="C423">
        <v>6</v>
      </c>
      <c r="D423" t="s">
        <v>143</v>
      </c>
      <c r="E423" t="s">
        <v>1267</v>
      </c>
      <c r="F423" t="s">
        <v>1268</v>
      </c>
      <c r="G423" t="s">
        <v>190</v>
      </c>
      <c r="H423" t="s">
        <v>147</v>
      </c>
      <c r="I423">
        <v>184</v>
      </c>
      <c r="J423">
        <v>38</v>
      </c>
      <c r="K423">
        <v>3</v>
      </c>
      <c r="L423" t="s">
        <v>142</v>
      </c>
    </row>
    <row r="424" spans="1:12" x14ac:dyDescent="0.3">
      <c r="A424" t="s">
        <v>48</v>
      </c>
      <c r="B424" t="s">
        <v>926</v>
      </c>
      <c r="C424">
        <v>7</v>
      </c>
      <c r="D424" t="s">
        <v>163</v>
      </c>
      <c r="E424" t="s">
        <v>1269</v>
      </c>
      <c r="F424" t="s">
        <v>1270</v>
      </c>
      <c r="G424" t="s">
        <v>1256</v>
      </c>
      <c r="H424" t="s">
        <v>926</v>
      </c>
      <c r="I424">
        <v>181</v>
      </c>
      <c r="J424">
        <v>100</v>
      </c>
      <c r="K424">
        <v>24</v>
      </c>
      <c r="L424" t="s">
        <v>142</v>
      </c>
    </row>
    <row r="425" spans="1:12" x14ac:dyDescent="0.3">
      <c r="A425" t="s">
        <v>48</v>
      </c>
      <c r="B425" t="s">
        <v>926</v>
      </c>
      <c r="C425">
        <v>8</v>
      </c>
      <c r="D425" t="s">
        <v>158</v>
      </c>
      <c r="E425" t="s">
        <v>1271</v>
      </c>
      <c r="F425" t="s">
        <v>1272</v>
      </c>
      <c r="G425" t="s">
        <v>1256</v>
      </c>
      <c r="H425" t="s">
        <v>926</v>
      </c>
      <c r="I425">
        <v>180</v>
      </c>
      <c r="J425">
        <v>34</v>
      </c>
      <c r="K425">
        <v>2</v>
      </c>
      <c r="L425" t="s">
        <v>142</v>
      </c>
    </row>
    <row r="426" spans="1:12" x14ac:dyDescent="0.3">
      <c r="A426" t="s">
        <v>48</v>
      </c>
      <c r="B426" t="s">
        <v>926</v>
      </c>
      <c r="C426">
        <v>9</v>
      </c>
      <c r="D426" t="s">
        <v>163</v>
      </c>
      <c r="E426" t="s">
        <v>1273</v>
      </c>
      <c r="F426" t="s">
        <v>1274</v>
      </c>
      <c r="G426" t="s">
        <v>615</v>
      </c>
      <c r="H426" t="s">
        <v>219</v>
      </c>
      <c r="I426">
        <v>182</v>
      </c>
      <c r="J426">
        <v>6</v>
      </c>
      <c r="K426">
        <v>0</v>
      </c>
      <c r="L426" t="s">
        <v>142</v>
      </c>
    </row>
    <row r="427" spans="1:12" x14ac:dyDescent="0.3">
      <c r="A427" t="s">
        <v>48</v>
      </c>
      <c r="B427" t="s">
        <v>926</v>
      </c>
      <c r="C427">
        <v>10</v>
      </c>
      <c r="D427" t="s">
        <v>163</v>
      </c>
      <c r="E427" t="s">
        <v>1275</v>
      </c>
      <c r="F427" t="s">
        <v>1276</v>
      </c>
      <c r="G427" t="s">
        <v>284</v>
      </c>
      <c r="H427" t="s">
        <v>194</v>
      </c>
      <c r="I427">
        <v>175</v>
      </c>
      <c r="J427">
        <v>121</v>
      </c>
      <c r="K427">
        <v>68</v>
      </c>
      <c r="L427" t="s">
        <v>142</v>
      </c>
    </row>
    <row r="428" spans="1:12" x14ac:dyDescent="0.3">
      <c r="A428" t="s">
        <v>48</v>
      </c>
      <c r="B428" t="s">
        <v>926</v>
      </c>
      <c r="C428">
        <v>11</v>
      </c>
      <c r="D428" t="s">
        <v>158</v>
      </c>
      <c r="E428" t="s">
        <v>1277</v>
      </c>
      <c r="F428" t="s">
        <v>1278</v>
      </c>
      <c r="G428" t="s">
        <v>925</v>
      </c>
      <c r="H428" t="s">
        <v>926</v>
      </c>
      <c r="I428">
        <v>179</v>
      </c>
      <c r="J428">
        <v>7</v>
      </c>
      <c r="K428">
        <v>4</v>
      </c>
      <c r="L428" t="s">
        <v>142</v>
      </c>
    </row>
    <row r="429" spans="1:12" x14ac:dyDescent="0.3">
      <c r="A429" t="s">
        <v>48</v>
      </c>
      <c r="B429" t="s">
        <v>926</v>
      </c>
      <c r="C429">
        <v>12</v>
      </c>
      <c r="D429" t="s">
        <v>163</v>
      </c>
      <c r="E429" t="s">
        <v>1279</v>
      </c>
      <c r="F429" t="s">
        <v>1280</v>
      </c>
      <c r="G429" t="s">
        <v>1281</v>
      </c>
      <c r="H429" t="s">
        <v>219</v>
      </c>
      <c r="I429">
        <v>175</v>
      </c>
      <c r="J429">
        <v>6</v>
      </c>
      <c r="K429">
        <v>0</v>
      </c>
      <c r="L429" t="s">
        <v>142</v>
      </c>
    </row>
    <row r="430" spans="1:12" x14ac:dyDescent="0.3">
      <c r="A430" t="s">
        <v>48</v>
      </c>
      <c r="B430" t="s">
        <v>926</v>
      </c>
      <c r="C430">
        <v>13</v>
      </c>
      <c r="D430" t="s">
        <v>143</v>
      </c>
      <c r="E430" t="s">
        <v>1282</v>
      </c>
      <c r="F430" t="s">
        <v>1283</v>
      </c>
      <c r="G430" t="s">
        <v>1263</v>
      </c>
      <c r="H430" t="s">
        <v>926</v>
      </c>
      <c r="I430">
        <v>177</v>
      </c>
      <c r="J430">
        <v>42</v>
      </c>
      <c r="K430">
        <v>1</v>
      </c>
      <c r="L430" t="s">
        <v>142</v>
      </c>
    </row>
    <row r="431" spans="1:12" x14ac:dyDescent="0.3">
      <c r="A431" t="s">
        <v>48</v>
      </c>
      <c r="B431" t="s">
        <v>926</v>
      </c>
      <c r="C431">
        <v>14</v>
      </c>
      <c r="D431" t="s">
        <v>158</v>
      </c>
      <c r="E431" t="s">
        <v>1284</v>
      </c>
      <c r="F431" t="s">
        <v>1102</v>
      </c>
      <c r="G431" t="s">
        <v>1285</v>
      </c>
      <c r="H431" t="s">
        <v>209</v>
      </c>
      <c r="I431">
        <v>183</v>
      </c>
      <c r="J431">
        <v>68</v>
      </c>
      <c r="K431">
        <v>4</v>
      </c>
      <c r="L431" t="s">
        <v>142</v>
      </c>
    </row>
    <row r="432" spans="1:12" x14ac:dyDescent="0.3">
      <c r="A432" t="s">
        <v>48</v>
      </c>
      <c r="B432" t="s">
        <v>926</v>
      </c>
      <c r="C432">
        <v>15</v>
      </c>
      <c r="D432" t="s">
        <v>143</v>
      </c>
      <c r="E432" t="s">
        <v>1286</v>
      </c>
      <c r="F432" t="s">
        <v>1287</v>
      </c>
      <c r="G432" t="s">
        <v>925</v>
      </c>
      <c r="H432" t="s">
        <v>926</v>
      </c>
      <c r="I432">
        <v>174</v>
      </c>
      <c r="J432">
        <v>12</v>
      </c>
      <c r="K432">
        <v>0</v>
      </c>
      <c r="L432" t="s">
        <v>142</v>
      </c>
    </row>
    <row r="433" spans="1:12" x14ac:dyDescent="0.3">
      <c r="A433" t="s">
        <v>48</v>
      </c>
      <c r="B433" t="s">
        <v>926</v>
      </c>
      <c r="C433">
        <v>16</v>
      </c>
      <c r="D433" t="s">
        <v>137</v>
      </c>
      <c r="E433" t="s">
        <v>1288</v>
      </c>
      <c r="F433" t="s">
        <v>1289</v>
      </c>
      <c r="G433" t="s">
        <v>1263</v>
      </c>
      <c r="H433" t="s">
        <v>926</v>
      </c>
      <c r="I433">
        <v>189</v>
      </c>
      <c r="J433">
        <v>0</v>
      </c>
      <c r="K433">
        <v>0</v>
      </c>
      <c r="L433" t="s">
        <v>142</v>
      </c>
    </row>
    <row r="434" spans="1:12" x14ac:dyDescent="0.3">
      <c r="A434" t="s">
        <v>48</v>
      </c>
      <c r="B434" t="s">
        <v>926</v>
      </c>
      <c r="C434">
        <v>17</v>
      </c>
      <c r="D434" t="s">
        <v>158</v>
      </c>
      <c r="E434" t="s">
        <v>1290</v>
      </c>
      <c r="F434" t="s">
        <v>1291</v>
      </c>
      <c r="G434" t="s">
        <v>925</v>
      </c>
      <c r="H434" t="s">
        <v>926</v>
      </c>
      <c r="I434">
        <v>186</v>
      </c>
      <c r="J434">
        <v>27</v>
      </c>
      <c r="K434">
        <v>0</v>
      </c>
      <c r="L434" t="s">
        <v>142</v>
      </c>
    </row>
    <row r="435" spans="1:12" x14ac:dyDescent="0.3">
      <c r="A435" t="s">
        <v>48</v>
      </c>
      <c r="B435" t="s">
        <v>926</v>
      </c>
      <c r="C435">
        <v>18</v>
      </c>
      <c r="D435" t="s">
        <v>158</v>
      </c>
      <c r="E435" t="s">
        <v>1292</v>
      </c>
      <c r="F435" t="s">
        <v>1293</v>
      </c>
      <c r="G435" t="s">
        <v>1294</v>
      </c>
      <c r="H435" t="s">
        <v>167</v>
      </c>
      <c r="I435">
        <v>179</v>
      </c>
      <c r="J435">
        <v>12</v>
      </c>
      <c r="K435">
        <v>0</v>
      </c>
      <c r="L435" t="s">
        <v>142</v>
      </c>
    </row>
    <row r="436" spans="1:12" x14ac:dyDescent="0.3">
      <c r="A436" t="s">
        <v>48</v>
      </c>
      <c r="B436" t="s">
        <v>926</v>
      </c>
      <c r="C436">
        <v>19</v>
      </c>
      <c r="D436" t="s">
        <v>158</v>
      </c>
      <c r="E436" t="s">
        <v>1295</v>
      </c>
      <c r="F436" t="s">
        <v>1296</v>
      </c>
      <c r="G436" t="s">
        <v>1256</v>
      </c>
      <c r="H436" t="s">
        <v>926</v>
      </c>
      <c r="I436">
        <v>176</v>
      </c>
      <c r="J436">
        <v>40</v>
      </c>
      <c r="K436">
        <v>1</v>
      </c>
      <c r="L436" t="s">
        <v>142</v>
      </c>
    </row>
    <row r="437" spans="1:12" x14ac:dyDescent="0.3">
      <c r="A437" t="s">
        <v>48</v>
      </c>
      <c r="B437" t="s">
        <v>926</v>
      </c>
      <c r="C437">
        <v>20</v>
      </c>
      <c r="D437" t="s">
        <v>163</v>
      </c>
      <c r="E437" t="s">
        <v>1297</v>
      </c>
      <c r="F437" t="s">
        <v>1298</v>
      </c>
      <c r="G437" t="s">
        <v>1299</v>
      </c>
      <c r="H437" t="s">
        <v>340</v>
      </c>
      <c r="I437">
        <v>178</v>
      </c>
      <c r="J437">
        <v>25</v>
      </c>
      <c r="K437">
        <v>3</v>
      </c>
      <c r="L437" t="s">
        <v>142</v>
      </c>
    </row>
    <row r="438" spans="1:12" x14ac:dyDescent="0.3">
      <c r="A438" t="s">
        <v>48</v>
      </c>
      <c r="B438" t="s">
        <v>926</v>
      </c>
      <c r="C438">
        <v>21</v>
      </c>
      <c r="D438" t="s">
        <v>158</v>
      </c>
      <c r="E438" t="s">
        <v>1300</v>
      </c>
      <c r="F438" t="s">
        <v>313</v>
      </c>
      <c r="G438" t="s">
        <v>1301</v>
      </c>
      <c r="H438" t="s">
        <v>926</v>
      </c>
      <c r="I438">
        <v>170</v>
      </c>
      <c r="J438">
        <v>17</v>
      </c>
      <c r="K438">
        <v>2</v>
      </c>
      <c r="L438" t="s">
        <v>142</v>
      </c>
    </row>
    <row r="439" spans="1:12" x14ac:dyDescent="0.3">
      <c r="A439" t="s">
        <v>48</v>
      </c>
      <c r="B439" t="s">
        <v>926</v>
      </c>
      <c r="C439">
        <v>22</v>
      </c>
      <c r="D439" t="s">
        <v>163</v>
      </c>
      <c r="E439" t="s">
        <v>1302</v>
      </c>
      <c r="F439" t="s">
        <v>750</v>
      </c>
      <c r="G439" t="s">
        <v>193</v>
      </c>
      <c r="H439" t="s">
        <v>194</v>
      </c>
      <c r="I439">
        <v>180</v>
      </c>
      <c r="J439">
        <v>55</v>
      </c>
      <c r="K439">
        <v>11</v>
      </c>
      <c r="L439" t="s">
        <v>142</v>
      </c>
    </row>
    <row r="440" spans="1:12" x14ac:dyDescent="0.3">
      <c r="A440" t="s">
        <v>48</v>
      </c>
      <c r="B440" t="s">
        <v>926</v>
      </c>
      <c r="C440">
        <v>23</v>
      </c>
      <c r="D440" t="s">
        <v>137</v>
      </c>
      <c r="E440" t="s">
        <v>1303</v>
      </c>
      <c r="F440" t="s">
        <v>764</v>
      </c>
      <c r="G440" t="s">
        <v>1256</v>
      </c>
      <c r="H440" t="s">
        <v>926</v>
      </c>
      <c r="I440">
        <v>195</v>
      </c>
      <c r="J440">
        <v>15</v>
      </c>
      <c r="K440">
        <v>0</v>
      </c>
      <c r="L440" t="s">
        <v>142</v>
      </c>
    </row>
    <row r="441" spans="1:12" x14ac:dyDescent="0.3">
      <c r="A441" t="s">
        <v>48</v>
      </c>
      <c r="B441" t="s">
        <v>926</v>
      </c>
      <c r="C441">
        <v>24</v>
      </c>
      <c r="D441" t="s">
        <v>143</v>
      </c>
      <c r="E441" t="s">
        <v>1304</v>
      </c>
      <c r="F441" t="s">
        <v>1305</v>
      </c>
      <c r="G441" t="s">
        <v>1301</v>
      </c>
      <c r="H441" t="s">
        <v>926</v>
      </c>
      <c r="I441">
        <v>178</v>
      </c>
      <c r="J441">
        <v>3</v>
      </c>
      <c r="K441">
        <v>0</v>
      </c>
      <c r="L441" t="s">
        <v>142</v>
      </c>
    </row>
    <row r="442" spans="1:12" x14ac:dyDescent="0.3">
      <c r="A442" t="s">
        <v>48</v>
      </c>
      <c r="B442" t="s">
        <v>926</v>
      </c>
      <c r="C442">
        <v>25</v>
      </c>
      <c r="D442" t="s">
        <v>163</v>
      </c>
      <c r="E442" t="s">
        <v>1306</v>
      </c>
      <c r="F442" t="s">
        <v>1307</v>
      </c>
      <c r="G442" t="s">
        <v>1256</v>
      </c>
      <c r="H442" t="s">
        <v>926</v>
      </c>
      <c r="I442">
        <v>175</v>
      </c>
      <c r="J442">
        <v>68</v>
      </c>
      <c r="K442">
        <v>5</v>
      </c>
      <c r="L442" t="s">
        <v>142</v>
      </c>
    </row>
    <row r="443" spans="1:12" x14ac:dyDescent="0.3">
      <c r="A443" t="s">
        <v>48</v>
      </c>
      <c r="B443" t="s">
        <v>926</v>
      </c>
      <c r="C443">
        <v>26</v>
      </c>
      <c r="D443" t="s">
        <v>137</v>
      </c>
      <c r="E443" t="s">
        <v>1308</v>
      </c>
      <c r="F443" t="s">
        <v>1309</v>
      </c>
      <c r="G443" t="s">
        <v>1310</v>
      </c>
      <c r="H443" t="s">
        <v>926</v>
      </c>
      <c r="I443">
        <v>188</v>
      </c>
      <c r="J443">
        <v>0</v>
      </c>
      <c r="K443">
        <v>0</v>
      </c>
      <c r="L443" t="s">
        <v>142</v>
      </c>
    </row>
    <row r="444" spans="1:12" x14ac:dyDescent="0.3">
      <c r="A444" t="s">
        <v>65</v>
      </c>
      <c r="B444" t="s">
        <v>194</v>
      </c>
      <c r="C444">
        <v>1</v>
      </c>
      <c r="D444" t="s">
        <v>137</v>
      </c>
      <c r="E444" t="s">
        <v>1311</v>
      </c>
      <c r="F444" t="s">
        <v>1312</v>
      </c>
      <c r="G444" t="s">
        <v>1313</v>
      </c>
      <c r="H444" t="s">
        <v>194</v>
      </c>
      <c r="I444">
        <v>185</v>
      </c>
      <c r="J444">
        <v>91</v>
      </c>
      <c r="K444">
        <v>0</v>
      </c>
      <c r="L444" t="s">
        <v>142</v>
      </c>
    </row>
    <row r="445" spans="1:12" x14ac:dyDescent="0.3">
      <c r="A445" t="s">
        <v>65</v>
      </c>
      <c r="B445" t="s">
        <v>194</v>
      </c>
      <c r="C445">
        <v>2</v>
      </c>
      <c r="D445" t="s">
        <v>143</v>
      </c>
      <c r="E445" t="s">
        <v>1314</v>
      </c>
      <c r="F445" t="s">
        <v>1315</v>
      </c>
      <c r="G445" t="s">
        <v>294</v>
      </c>
      <c r="H445" t="s">
        <v>194</v>
      </c>
      <c r="I445">
        <v>180</v>
      </c>
      <c r="J445">
        <v>28</v>
      </c>
      <c r="K445">
        <v>2</v>
      </c>
      <c r="L445" t="s">
        <v>142</v>
      </c>
    </row>
    <row r="446" spans="1:12" x14ac:dyDescent="0.3">
      <c r="A446" t="s">
        <v>65</v>
      </c>
      <c r="B446" t="s">
        <v>194</v>
      </c>
      <c r="C446">
        <v>3</v>
      </c>
      <c r="D446" t="s">
        <v>143</v>
      </c>
      <c r="E446" t="s">
        <v>1316</v>
      </c>
      <c r="F446" t="s">
        <v>1317</v>
      </c>
      <c r="G446" t="s">
        <v>193</v>
      </c>
      <c r="H446" t="s">
        <v>194</v>
      </c>
      <c r="I446">
        <v>177</v>
      </c>
      <c r="J446">
        <v>12</v>
      </c>
      <c r="K446">
        <v>0</v>
      </c>
      <c r="L446" t="s">
        <v>142</v>
      </c>
    </row>
    <row r="447" spans="1:12" x14ac:dyDescent="0.3">
      <c r="A447" t="s">
        <v>65</v>
      </c>
      <c r="B447" t="s">
        <v>194</v>
      </c>
      <c r="C447">
        <v>4</v>
      </c>
      <c r="D447" t="s">
        <v>158</v>
      </c>
      <c r="E447" t="s">
        <v>1318</v>
      </c>
      <c r="F447" t="s">
        <v>1319</v>
      </c>
      <c r="G447" t="s">
        <v>479</v>
      </c>
      <c r="H447" t="s">
        <v>194</v>
      </c>
      <c r="I447">
        <v>185</v>
      </c>
      <c r="J447">
        <v>80</v>
      </c>
      <c r="K447">
        <v>8</v>
      </c>
      <c r="L447" t="s">
        <v>142</v>
      </c>
    </row>
    <row r="448" spans="1:12" x14ac:dyDescent="0.3">
      <c r="A448" t="s">
        <v>65</v>
      </c>
      <c r="B448" t="s">
        <v>194</v>
      </c>
      <c r="C448">
        <v>5</v>
      </c>
      <c r="D448" t="s">
        <v>143</v>
      </c>
      <c r="E448" t="s">
        <v>1320</v>
      </c>
      <c r="F448" t="s">
        <v>1321</v>
      </c>
      <c r="G448" t="s">
        <v>193</v>
      </c>
      <c r="H448" t="s">
        <v>194</v>
      </c>
      <c r="I448">
        <v>188</v>
      </c>
      <c r="J448">
        <v>94</v>
      </c>
      <c r="K448">
        <v>3</v>
      </c>
      <c r="L448" t="s">
        <v>142</v>
      </c>
    </row>
    <row r="449" spans="1:12" x14ac:dyDescent="0.3">
      <c r="A449" t="s">
        <v>65</v>
      </c>
      <c r="B449" t="s">
        <v>194</v>
      </c>
      <c r="C449">
        <v>6</v>
      </c>
      <c r="D449" t="s">
        <v>143</v>
      </c>
      <c r="E449" t="s">
        <v>1322</v>
      </c>
      <c r="F449" t="s">
        <v>1323</v>
      </c>
      <c r="G449" t="s">
        <v>193</v>
      </c>
      <c r="H449" t="s">
        <v>194</v>
      </c>
      <c r="I449">
        <v>183</v>
      </c>
      <c r="J449">
        <v>37</v>
      </c>
      <c r="K449">
        <v>1</v>
      </c>
      <c r="L449" t="s">
        <v>142</v>
      </c>
    </row>
    <row r="450" spans="1:12" x14ac:dyDescent="0.3">
      <c r="A450" t="s">
        <v>65</v>
      </c>
      <c r="B450" t="s">
        <v>194</v>
      </c>
      <c r="C450">
        <v>7</v>
      </c>
      <c r="D450" t="s">
        <v>163</v>
      </c>
      <c r="E450" t="s">
        <v>1324</v>
      </c>
      <c r="F450" t="s">
        <v>1325</v>
      </c>
      <c r="G450" t="s">
        <v>479</v>
      </c>
      <c r="H450" t="s">
        <v>194</v>
      </c>
      <c r="I450">
        <v>178</v>
      </c>
      <c r="J450">
        <v>56</v>
      </c>
      <c r="K450">
        <v>17</v>
      </c>
      <c r="L450" t="s">
        <v>142</v>
      </c>
    </row>
    <row r="451" spans="1:12" x14ac:dyDescent="0.3">
      <c r="A451" t="s">
        <v>65</v>
      </c>
      <c r="B451" t="s">
        <v>194</v>
      </c>
      <c r="C451">
        <v>8</v>
      </c>
      <c r="D451" t="s">
        <v>158</v>
      </c>
      <c r="E451" t="s">
        <v>1326</v>
      </c>
      <c r="F451" t="s">
        <v>1327</v>
      </c>
      <c r="G451" t="s">
        <v>988</v>
      </c>
      <c r="H451" t="s">
        <v>194</v>
      </c>
      <c r="I451">
        <v>179</v>
      </c>
      <c r="J451">
        <v>17</v>
      </c>
      <c r="K451">
        <v>0</v>
      </c>
      <c r="L451" t="s">
        <v>142</v>
      </c>
    </row>
    <row r="452" spans="1:12" x14ac:dyDescent="0.3">
      <c r="A452" t="s">
        <v>65</v>
      </c>
      <c r="B452" t="s">
        <v>194</v>
      </c>
      <c r="C452">
        <v>9</v>
      </c>
      <c r="D452" t="s">
        <v>163</v>
      </c>
      <c r="E452" t="s">
        <v>1328</v>
      </c>
      <c r="F452" t="s">
        <v>1329</v>
      </c>
      <c r="G452" t="s">
        <v>437</v>
      </c>
      <c r="H452" t="s">
        <v>177</v>
      </c>
      <c r="I452">
        <v>190</v>
      </c>
      <c r="J452">
        <v>121</v>
      </c>
      <c r="K452">
        <v>85</v>
      </c>
      <c r="L452" t="s">
        <v>142</v>
      </c>
    </row>
    <row r="453" spans="1:12" x14ac:dyDescent="0.3">
      <c r="A453" t="s">
        <v>65</v>
      </c>
      <c r="B453" t="s">
        <v>194</v>
      </c>
      <c r="C453">
        <v>10</v>
      </c>
      <c r="D453" t="s">
        <v>158</v>
      </c>
      <c r="E453" t="s">
        <v>1330</v>
      </c>
      <c r="F453" t="s">
        <v>1331</v>
      </c>
      <c r="G453" t="s">
        <v>403</v>
      </c>
      <c r="H453" t="s">
        <v>219</v>
      </c>
      <c r="I453">
        <v>183</v>
      </c>
      <c r="J453">
        <v>56</v>
      </c>
      <c r="K453">
        <v>13</v>
      </c>
      <c r="L453" t="s">
        <v>142</v>
      </c>
    </row>
    <row r="454" spans="1:12" x14ac:dyDescent="0.3">
      <c r="A454" t="s">
        <v>65</v>
      </c>
      <c r="B454" t="s">
        <v>194</v>
      </c>
      <c r="C454">
        <v>11</v>
      </c>
      <c r="D454" t="s">
        <v>163</v>
      </c>
      <c r="E454" t="s">
        <v>1332</v>
      </c>
      <c r="F454" t="s">
        <v>1333</v>
      </c>
      <c r="G454" t="s">
        <v>615</v>
      </c>
      <c r="H454" t="s">
        <v>219</v>
      </c>
      <c r="I454">
        <v>180</v>
      </c>
      <c r="J454">
        <v>78</v>
      </c>
      <c r="K454">
        <v>19</v>
      </c>
      <c r="L454" t="s">
        <v>142</v>
      </c>
    </row>
    <row r="455" spans="1:12" x14ac:dyDescent="0.3">
      <c r="A455" t="s">
        <v>65</v>
      </c>
      <c r="B455" t="s">
        <v>194</v>
      </c>
      <c r="C455">
        <v>12</v>
      </c>
      <c r="D455" t="s">
        <v>143</v>
      </c>
      <c r="E455" t="s">
        <v>1334</v>
      </c>
      <c r="F455" t="s">
        <v>1335</v>
      </c>
      <c r="G455" t="s">
        <v>297</v>
      </c>
      <c r="H455" t="s">
        <v>194</v>
      </c>
      <c r="I455">
        <v>192</v>
      </c>
      <c r="J455">
        <v>2</v>
      </c>
      <c r="K455">
        <v>0</v>
      </c>
      <c r="L455" t="s">
        <v>142</v>
      </c>
    </row>
    <row r="456" spans="1:12" x14ac:dyDescent="0.3">
      <c r="A456" t="s">
        <v>65</v>
      </c>
      <c r="B456" t="s">
        <v>194</v>
      </c>
      <c r="C456">
        <v>13</v>
      </c>
      <c r="D456" t="s">
        <v>137</v>
      </c>
      <c r="E456" t="s">
        <v>1336</v>
      </c>
      <c r="F456" t="s">
        <v>1337</v>
      </c>
      <c r="G456" t="s">
        <v>806</v>
      </c>
      <c r="H456" t="s">
        <v>194</v>
      </c>
      <c r="I456">
        <v>188</v>
      </c>
      <c r="J456">
        <v>6</v>
      </c>
      <c r="K456">
        <v>0</v>
      </c>
      <c r="L456" t="s">
        <v>142</v>
      </c>
    </row>
    <row r="457" spans="1:12" x14ac:dyDescent="0.3">
      <c r="A457" t="s">
        <v>65</v>
      </c>
      <c r="B457" t="s">
        <v>194</v>
      </c>
      <c r="C457">
        <v>14</v>
      </c>
      <c r="D457" t="s">
        <v>158</v>
      </c>
      <c r="E457" t="s">
        <v>1338</v>
      </c>
      <c r="F457" t="s">
        <v>1339</v>
      </c>
      <c r="G457" t="s">
        <v>650</v>
      </c>
      <c r="H457" t="s">
        <v>194</v>
      </c>
      <c r="I457">
        <v>183</v>
      </c>
      <c r="J457">
        <v>91</v>
      </c>
      <c r="K457">
        <v>3</v>
      </c>
      <c r="L457" t="s">
        <v>142</v>
      </c>
    </row>
    <row r="458" spans="1:12" x14ac:dyDescent="0.3">
      <c r="A458" t="s">
        <v>65</v>
      </c>
      <c r="B458" t="s">
        <v>194</v>
      </c>
      <c r="C458">
        <v>15</v>
      </c>
      <c r="D458" t="s">
        <v>143</v>
      </c>
      <c r="E458" t="s">
        <v>1340</v>
      </c>
      <c r="F458" t="s">
        <v>1341</v>
      </c>
      <c r="G458" t="s">
        <v>607</v>
      </c>
      <c r="H458" t="s">
        <v>194</v>
      </c>
      <c r="I458">
        <v>201</v>
      </c>
      <c r="J458">
        <v>11</v>
      </c>
      <c r="K458">
        <v>0</v>
      </c>
      <c r="L458" t="s">
        <v>142</v>
      </c>
    </row>
    <row r="459" spans="1:12" x14ac:dyDescent="0.3">
      <c r="A459" t="s">
        <v>65</v>
      </c>
      <c r="B459" t="s">
        <v>194</v>
      </c>
      <c r="C459">
        <v>16</v>
      </c>
      <c r="D459" t="s">
        <v>158</v>
      </c>
      <c r="E459" t="s">
        <v>1342</v>
      </c>
      <c r="F459" t="s">
        <v>1343</v>
      </c>
      <c r="G459" t="s">
        <v>248</v>
      </c>
      <c r="H459" t="s">
        <v>194</v>
      </c>
      <c r="I459">
        <v>183</v>
      </c>
      <c r="J459">
        <v>14</v>
      </c>
      <c r="K459">
        <v>0</v>
      </c>
      <c r="L459" t="s">
        <v>142</v>
      </c>
    </row>
    <row r="460" spans="1:12" x14ac:dyDescent="0.3">
      <c r="A460" t="s">
        <v>65</v>
      </c>
      <c r="B460" t="s">
        <v>194</v>
      </c>
      <c r="C460">
        <v>17</v>
      </c>
      <c r="D460" t="s">
        <v>158</v>
      </c>
      <c r="E460" t="s">
        <v>1344</v>
      </c>
      <c r="F460" t="s">
        <v>1345</v>
      </c>
      <c r="G460" t="s">
        <v>294</v>
      </c>
      <c r="H460" t="s">
        <v>194</v>
      </c>
      <c r="I460">
        <v>187</v>
      </c>
      <c r="J460">
        <v>22</v>
      </c>
      <c r="K460">
        <v>1</v>
      </c>
      <c r="L460" t="s">
        <v>142</v>
      </c>
    </row>
    <row r="461" spans="1:12" x14ac:dyDescent="0.3">
      <c r="A461" t="s">
        <v>65</v>
      </c>
      <c r="B461" t="s">
        <v>194</v>
      </c>
      <c r="C461">
        <v>18</v>
      </c>
      <c r="D461" t="s">
        <v>163</v>
      </c>
      <c r="E461" t="s">
        <v>1346</v>
      </c>
      <c r="F461" t="s">
        <v>1347</v>
      </c>
      <c r="G461" t="s">
        <v>607</v>
      </c>
      <c r="H461" t="s">
        <v>194</v>
      </c>
      <c r="I461">
        <v>182</v>
      </c>
      <c r="J461">
        <v>25</v>
      </c>
      <c r="K461">
        <v>4</v>
      </c>
      <c r="L461" t="s">
        <v>142</v>
      </c>
    </row>
    <row r="462" spans="1:12" x14ac:dyDescent="0.3">
      <c r="A462" t="s">
        <v>65</v>
      </c>
      <c r="B462" t="s">
        <v>194</v>
      </c>
      <c r="C462">
        <v>19</v>
      </c>
      <c r="D462" t="s">
        <v>163</v>
      </c>
      <c r="E462" t="s">
        <v>1348</v>
      </c>
      <c r="F462" t="s">
        <v>1349</v>
      </c>
      <c r="G462" t="s">
        <v>294</v>
      </c>
      <c r="H462" t="s">
        <v>194</v>
      </c>
      <c r="I462">
        <v>180</v>
      </c>
      <c r="J462">
        <v>24</v>
      </c>
      <c r="K462">
        <v>7</v>
      </c>
      <c r="L462" t="s">
        <v>142</v>
      </c>
    </row>
    <row r="463" spans="1:12" x14ac:dyDescent="0.3">
      <c r="A463" t="s">
        <v>65</v>
      </c>
      <c r="B463" t="s">
        <v>194</v>
      </c>
      <c r="C463">
        <v>20</v>
      </c>
      <c r="D463" t="s">
        <v>163</v>
      </c>
      <c r="E463" t="s">
        <v>1350</v>
      </c>
      <c r="F463" t="s">
        <v>1351</v>
      </c>
      <c r="G463" t="s">
        <v>479</v>
      </c>
      <c r="H463" t="s">
        <v>194</v>
      </c>
      <c r="I463">
        <v>182</v>
      </c>
      <c r="J463">
        <v>16</v>
      </c>
      <c r="K463">
        <v>1</v>
      </c>
      <c r="L463" t="s">
        <v>142</v>
      </c>
    </row>
    <row r="464" spans="1:12" x14ac:dyDescent="0.3">
      <c r="A464" t="s">
        <v>65</v>
      </c>
      <c r="B464" t="s">
        <v>194</v>
      </c>
      <c r="C464">
        <v>21</v>
      </c>
      <c r="D464" t="s">
        <v>158</v>
      </c>
      <c r="E464" t="s">
        <v>1352</v>
      </c>
      <c r="F464" t="s">
        <v>1353</v>
      </c>
      <c r="G464" t="s">
        <v>479</v>
      </c>
      <c r="H464" t="s">
        <v>194</v>
      </c>
      <c r="I464">
        <v>178</v>
      </c>
      <c r="J464">
        <v>22</v>
      </c>
      <c r="K464">
        <v>3</v>
      </c>
      <c r="L464" t="s">
        <v>142</v>
      </c>
    </row>
    <row r="465" spans="1:12" x14ac:dyDescent="0.3">
      <c r="A465" t="s">
        <v>65</v>
      </c>
      <c r="B465" t="s">
        <v>194</v>
      </c>
      <c r="C465">
        <v>22</v>
      </c>
      <c r="D465" t="s">
        <v>163</v>
      </c>
      <c r="E465" t="s">
        <v>1354</v>
      </c>
      <c r="F465" t="s">
        <v>1355</v>
      </c>
      <c r="G465" t="s">
        <v>166</v>
      </c>
      <c r="H465" t="s">
        <v>167</v>
      </c>
      <c r="I465">
        <v>185</v>
      </c>
      <c r="J465">
        <v>10</v>
      </c>
      <c r="K465">
        <v>1</v>
      </c>
      <c r="L465" t="s">
        <v>142</v>
      </c>
    </row>
    <row r="466" spans="1:12" x14ac:dyDescent="0.3">
      <c r="A466" t="s">
        <v>65</v>
      </c>
      <c r="B466" t="s">
        <v>194</v>
      </c>
      <c r="C466">
        <v>23</v>
      </c>
      <c r="D466" t="s">
        <v>137</v>
      </c>
      <c r="E466" t="s">
        <v>1356</v>
      </c>
      <c r="F466" t="s">
        <v>1357</v>
      </c>
      <c r="G466" t="s">
        <v>193</v>
      </c>
      <c r="H466" t="s">
        <v>194</v>
      </c>
      <c r="I466">
        <v>197</v>
      </c>
      <c r="J466">
        <v>2</v>
      </c>
      <c r="K466">
        <v>0</v>
      </c>
      <c r="L466" t="s">
        <v>142</v>
      </c>
    </row>
    <row r="467" spans="1:12" x14ac:dyDescent="0.3">
      <c r="A467" t="s">
        <v>65</v>
      </c>
      <c r="B467" t="s">
        <v>194</v>
      </c>
      <c r="C467">
        <v>24</v>
      </c>
      <c r="D467" t="s">
        <v>143</v>
      </c>
      <c r="E467" t="s">
        <v>1358</v>
      </c>
      <c r="F467" t="s">
        <v>1359</v>
      </c>
      <c r="G467" t="s">
        <v>297</v>
      </c>
      <c r="H467" t="s">
        <v>194</v>
      </c>
      <c r="I467">
        <v>180</v>
      </c>
      <c r="J467">
        <v>29</v>
      </c>
      <c r="K467">
        <v>1</v>
      </c>
      <c r="L467" t="s">
        <v>142</v>
      </c>
    </row>
    <row r="468" spans="1:12" x14ac:dyDescent="0.3">
      <c r="A468" t="s">
        <v>65</v>
      </c>
      <c r="B468" t="s">
        <v>194</v>
      </c>
      <c r="C468">
        <v>25</v>
      </c>
      <c r="D468" t="s">
        <v>143</v>
      </c>
      <c r="E468" t="s">
        <v>1360</v>
      </c>
      <c r="F468" t="s">
        <v>1361</v>
      </c>
      <c r="G468" t="s">
        <v>266</v>
      </c>
      <c r="H468" t="s">
        <v>194</v>
      </c>
      <c r="I468">
        <v>184</v>
      </c>
      <c r="J468">
        <v>14</v>
      </c>
      <c r="K468">
        <v>0</v>
      </c>
      <c r="L468" t="s">
        <v>142</v>
      </c>
    </row>
    <row r="469" spans="1:12" x14ac:dyDescent="0.3">
      <c r="A469" t="s">
        <v>65</v>
      </c>
      <c r="B469" t="s">
        <v>194</v>
      </c>
      <c r="C469">
        <v>26</v>
      </c>
      <c r="D469" t="s">
        <v>143</v>
      </c>
      <c r="E469" t="s">
        <v>1362</v>
      </c>
      <c r="F469" t="s">
        <v>1363</v>
      </c>
      <c r="G469" t="s">
        <v>215</v>
      </c>
      <c r="H469" t="s">
        <v>177</v>
      </c>
      <c r="I469">
        <v>190</v>
      </c>
      <c r="J469">
        <v>6</v>
      </c>
      <c r="K469">
        <v>0</v>
      </c>
      <c r="L469" t="s">
        <v>142</v>
      </c>
    </row>
    <row r="470" spans="1:12" x14ac:dyDescent="0.3">
      <c r="A470" t="s">
        <v>54</v>
      </c>
      <c r="B470" t="s">
        <v>147</v>
      </c>
      <c r="C470">
        <v>1</v>
      </c>
      <c r="D470" t="s">
        <v>137</v>
      </c>
      <c r="E470" t="s">
        <v>1364</v>
      </c>
      <c r="F470" t="s">
        <v>1365</v>
      </c>
      <c r="G470" t="s">
        <v>1366</v>
      </c>
      <c r="H470" t="s">
        <v>147</v>
      </c>
      <c r="I470">
        <v>187</v>
      </c>
      <c r="J470">
        <v>4</v>
      </c>
      <c r="K470">
        <v>0</v>
      </c>
      <c r="L470" t="s">
        <v>142</v>
      </c>
    </row>
    <row r="471" spans="1:12" x14ac:dyDescent="0.3">
      <c r="A471" t="s">
        <v>54</v>
      </c>
      <c r="B471" t="s">
        <v>147</v>
      </c>
      <c r="C471">
        <v>2</v>
      </c>
      <c r="D471" t="s">
        <v>143</v>
      </c>
      <c r="E471" t="s">
        <v>1367</v>
      </c>
      <c r="F471" t="s">
        <v>1368</v>
      </c>
      <c r="G471" t="s">
        <v>297</v>
      </c>
      <c r="H471" t="s">
        <v>194</v>
      </c>
      <c r="I471">
        <v>179</v>
      </c>
      <c r="J471">
        <v>16</v>
      </c>
      <c r="K471">
        <v>0</v>
      </c>
      <c r="L471" t="s">
        <v>142</v>
      </c>
    </row>
    <row r="472" spans="1:12" x14ac:dyDescent="0.3">
      <c r="A472" t="s">
        <v>54</v>
      </c>
      <c r="B472" t="s">
        <v>147</v>
      </c>
      <c r="C472">
        <v>3</v>
      </c>
      <c r="D472" t="s">
        <v>143</v>
      </c>
      <c r="E472" t="s">
        <v>1369</v>
      </c>
      <c r="F472" t="s">
        <v>1370</v>
      </c>
      <c r="G472" t="s">
        <v>294</v>
      </c>
      <c r="H472" t="s">
        <v>194</v>
      </c>
      <c r="I472">
        <v>178</v>
      </c>
      <c r="J472">
        <v>64</v>
      </c>
      <c r="K472">
        <v>0</v>
      </c>
      <c r="L472" t="s">
        <v>142</v>
      </c>
    </row>
    <row r="473" spans="1:12" x14ac:dyDescent="0.3">
      <c r="A473" t="s">
        <v>54</v>
      </c>
      <c r="B473" t="s">
        <v>147</v>
      </c>
      <c r="C473">
        <v>4</v>
      </c>
      <c r="D473" t="s">
        <v>143</v>
      </c>
      <c r="E473" t="s">
        <v>1371</v>
      </c>
      <c r="F473" t="s">
        <v>1372</v>
      </c>
      <c r="G473" t="s">
        <v>437</v>
      </c>
      <c r="H473" t="s">
        <v>177</v>
      </c>
      <c r="I473">
        <v>186</v>
      </c>
      <c r="J473">
        <v>46</v>
      </c>
      <c r="K473">
        <v>2</v>
      </c>
      <c r="L473" t="s">
        <v>142</v>
      </c>
    </row>
    <row r="474" spans="1:12" x14ac:dyDescent="0.3">
      <c r="A474" t="s">
        <v>54</v>
      </c>
      <c r="B474" t="s">
        <v>147</v>
      </c>
      <c r="C474">
        <v>5</v>
      </c>
      <c r="D474" t="s">
        <v>143</v>
      </c>
      <c r="E474" t="s">
        <v>1373</v>
      </c>
      <c r="F474" t="s">
        <v>1374</v>
      </c>
      <c r="G474" t="s">
        <v>615</v>
      </c>
      <c r="H474" t="s">
        <v>219</v>
      </c>
      <c r="I474">
        <v>178</v>
      </c>
      <c r="J474">
        <v>56</v>
      </c>
      <c r="K474">
        <v>0</v>
      </c>
      <c r="L474" t="s">
        <v>142</v>
      </c>
    </row>
    <row r="475" spans="1:12" x14ac:dyDescent="0.3">
      <c r="A475" t="s">
        <v>54</v>
      </c>
      <c r="B475" t="s">
        <v>147</v>
      </c>
      <c r="C475">
        <v>6</v>
      </c>
      <c r="D475" t="s">
        <v>158</v>
      </c>
      <c r="E475" t="s">
        <v>1375</v>
      </c>
      <c r="F475" t="s">
        <v>1376</v>
      </c>
      <c r="G475" t="s">
        <v>996</v>
      </c>
      <c r="H475" t="s">
        <v>200</v>
      </c>
      <c r="I475">
        <v>185</v>
      </c>
      <c r="J475">
        <v>19</v>
      </c>
      <c r="K475">
        <v>0</v>
      </c>
      <c r="L475" t="s">
        <v>142</v>
      </c>
    </row>
    <row r="476" spans="1:12" x14ac:dyDescent="0.3">
      <c r="A476" t="s">
        <v>54</v>
      </c>
      <c r="B476" t="s">
        <v>147</v>
      </c>
      <c r="C476">
        <v>7</v>
      </c>
      <c r="D476" t="s">
        <v>163</v>
      </c>
      <c r="E476" t="s">
        <v>1377</v>
      </c>
      <c r="F476" t="s">
        <v>921</v>
      </c>
      <c r="G476" t="s">
        <v>597</v>
      </c>
      <c r="H476" t="s">
        <v>147</v>
      </c>
      <c r="I476">
        <v>179</v>
      </c>
      <c r="J476">
        <v>67</v>
      </c>
      <c r="K476">
        <v>13</v>
      </c>
      <c r="L476" t="s">
        <v>142</v>
      </c>
    </row>
    <row r="477" spans="1:12" x14ac:dyDescent="0.3">
      <c r="A477" t="s">
        <v>54</v>
      </c>
      <c r="B477" t="s">
        <v>147</v>
      </c>
      <c r="C477">
        <v>8</v>
      </c>
      <c r="D477" t="s">
        <v>158</v>
      </c>
      <c r="E477" t="s">
        <v>1378</v>
      </c>
      <c r="F477" t="s">
        <v>430</v>
      </c>
      <c r="G477" t="s">
        <v>403</v>
      </c>
      <c r="H477" t="s">
        <v>219</v>
      </c>
      <c r="I477">
        <v>188</v>
      </c>
      <c r="J477">
        <v>50</v>
      </c>
      <c r="K477">
        <v>3</v>
      </c>
      <c r="L477" t="s">
        <v>142</v>
      </c>
    </row>
    <row r="478" spans="1:12" x14ac:dyDescent="0.3">
      <c r="A478" t="s">
        <v>54</v>
      </c>
      <c r="B478" t="s">
        <v>147</v>
      </c>
      <c r="C478">
        <v>9</v>
      </c>
      <c r="D478" t="s">
        <v>163</v>
      </c>
      <c r="E478" t="s">
        <v>1379</v>
      </c>
      <c r="F478" t="s">
        <v>906</v>
      </c>
      <c r="G478" t="s">
        <v>291</v>
      </c>
      <c r="H478" t="s">
        <v>200</v>
      </c>
      <c r="I478">
        <v>192</v>
      </c>
      <c r="J478">
        <v>35</v>
      </c>
      <c r="K478">
        <v>3</v>
      </c>
      <c r="L478" t="s">
        <v>142</v>
      </c>
    </row>
    <row r="479" spans="1:12" x14ac:dyDescent="0.3">
      <c r="A479" t="s">
        <v>54</v>
      </c>
      <c r="B479" t="s">
        <v>147</v>
      </c>
      <c r="C479">
        <v>10</v>
      </c>
      <c r="D479" t="s">
        <v>163</v>
      </c>
      <c r="E479" t="s">
        <v>1380</v>
      </c>
      <c r="F479" t="s">
        <v>1381</v>
      </c>
      <c r="G479" t="s">
        <v>403</v>
      </c>
      <c r="H479" t="s">
        <v>219</v>
      </c>
      <c r="I479">
        <v>180</v>
      </c>
      <c r="J479">
        <v>106</v>
      </c>
      <c r="K479">
        <v>66</v>
      </c>
      <c r="L479" t="s">
        <v>142</v>
      </c>
    </row>
    <row r="480" spans="1:12" x14ac:dyDescent="0.3">
      <c r="A480" t="s">
        <v>54</v>
      </c>
      <c r="B480" t="s">
        <v>147</v>
      </c>
      <c r="C480">
        <v>11</v>
      </c>
      <c r="D480" t="s">
        <v>163</v>
      </c>
      <c r="E480" t="s">
        <v>1382</v>
      </c>
      <c r="F480" t="s">
        <v>1383</v>
      </c>
      <c r="G480" t="s">
        <v>437</v>
      </c>
      <c r="H480" t="s">
        <v>177</v>
      </c>
      <c r="I480">
        <v>184</v>
      </c>
      <c r="J480">
        <v>25</v>
      </c>
      <c r="K480">
        <v>7</v>
      </c>
      <c r="L480" t="s">
        <v>142</v>
      </c>
    </row>
    <row r="481" spans="1:12" x14ac:dyDescent="0.3">
      <c r="A481" t="s">
        <v>54</v>
      </c>
      <c r="B481" t="s">
        <v>147</v>
      </c>
      <c r="C481">
        <v>12</v>
      </c>
      <c r="D481" t="s">
        <v>163</v>
      </c>
      <c r="E481" t="s">
        <v>1384</v>
      </c>
      <c r="F481" t="s">
        <v>1385</v>
      </c>
      <c r="G481" t="s">
        <v>597</v>
      </c>
      <c r="H481" t="s">
        <v>147</v>
      </c>
      <c r="I481">
        <v>187</v>
      </c>
      <c r="J481">
        <v>28</v>
      </c>
      <c r="K481">
        <v>6</v>
      </c>
      <c r="L481" t="s">
        <v>142</v>
      </c>
    </row>
    <row r="482" spans="1:12" x14ac:dyDescent="0.3">
      <c r="A482" t="s">
        <v>54</v>
      </c>
      <c r="B482" t="s">
        <v>147</v>
      </c>
      <c r="C482">
        <v>13</v>
      </c>
      <c r="D482" t="s">
        <v>158</v>
      </c>
      <c r="E482" t="s">
        <v>1386</v>
      </c>
      <c r="F482" t="s">
        <v>1387</v>
      </c>
      <c r="G482" t="s">
        <v>645</v>
      </c>
      <c r="H482" t="s">
        <v>523</v>
      </c>
      <c r="I482">
        <v>171</v>
      </c>
      <c r="J482">
        <v>69</v>
      </c>
      <c r="K482">
        <v>2</v>
      </c>
      <c r="L482" t="s">
        <v>142</v>
      </c>
    </row>
    <row r="483" spans="1:12" x14ac:dyDescent="0.3">
      <c r="A483" t="s">
        <v>54</v>
      </c>
      <c r="B483" t="s">
        <v>147</v>
      </c>
      <c r="C483">
        <v>14</v>
      </c>
      <c r="D483" t="s">
        <v>158</v>
      </c>
      <c r="E483" t="s">
        <v>1388</v>
      </c>
      <c r="F483" t="s">
        <v>1389</v>
      </c>
      <c r="G483" t="s">
        <v>492</v>
      </c>
      <c r="H483" t="s">
        <v>200</v>
      </c>
      <c r="I483">
        <v>191</v>
      </c>
      <c r="J483">
        <v>66</v>
      </c>
      <c r="K483">
        <v>7</v>
      </c>
      <c r="L483" t="s">
        <v>142</v>
      </c>
    </row>
    <row r="484" spans="1:12" x14ac:dyDescent="0.3">
      <c r="A484" t="s">
        <v>54</v>
      </c>
      <c r="B484" t="s">
        <v>147</v>
      </c>
      <c r="C484">
        <v>15</v>
      </c>
      <c r="D484" t="s">
        <v>143</v>
      </c>
      <c r="E484" t="s">
        <v>1390</v>
      </c>
      <c r="F484" t="s">
        <v>1391</v>
      </c>
      <c r="G484" t="s">
        <v>284</v>
      </c>
      <c r="H484" t="s">
        <v>194</v>
      </c>
      <c r="I484">
        <v>194</v>
      </c>
      <c r="J484">
        <v>30</v>
      </c>
      <c r="K484">
        <v>0</v>
      </c>
      <c r="L484" t="s">
        <v>142</v>
      </c>
    </row>
    <row r="485" spans="1:12" x14ac:dyDescent="0.3">
      <c r="A485" t="s">
        <v>54</v>
      </c>
      <c r="B485" t="s">
        <v>147</v>
      </c>
      <c r="C485">
        <v>16</v>
      </c>
      <c r="D485" t="s">
        <v>137</v>
      </c>
      <c r="E485" t="s">
        <v>1392</v>
      </c>
      <c r="F485" t="s">
        <v>1393</v>
      </c>
      <c r="G485" t="s">
        <v>492</v>
      </c>
      <c r="H485" t="s">
        <v>200</v>
      </c>
      <c r="I485">
        <v>191</v>
      </c>
      <c r="J485">
        <v>48</v>
      </c>
      <c r="K485">
        <v>0</v>
      </c>
      <c r="L485" t="s">
        <v>142</v>
      </c>
    </row>
    <row r="486" spans="1:12" x14ac:dyDescent="0.3">
      <c r="A486" t="s">
        <v>54</v>
      </c>
      <c r="B486" t="s">
        <v>147</v>
      </c>
      <c r="C486">
        <v>17</v>
      </c>
      <c r="D486" t="s">
        <v>143</v>
      </c>
      <c r="E486" t="s">
        <v>1394</v>
      </c>
      <c r="F486" t="s">
        <v>1395</v>
      </c>
      <c r="G486" t="s">
        <v>479</v>
      </c>
      <c r="H486" t="s">
        <v>194</v>
      </c>
      <c r="I486">
        <v>192</v>
      </c>
      <c r="J486">
        <v>38</v>
      </c>
      <c r="K486">
        <v>0</v>
      </c>
      <c r="L486" t="s">
        <v>142</v>
      </c>
    </row>
    <row r="487" spans="1:12" x14ac:dyDescent="0.3">
      <c r="A487" t="s">
        <v>54</v>
      </c>
      <c r="B487" t="s">
        <v>147</v>
      </c>
      <c r="C487">
        <v>18</v>
      </c>
      <c r="D487" t="s">
        <v>158</v>
      </c>
      <c r="E487" t="s">
        <v>1396</v>
      </c>
      <c r="F487" t="s">
        <v>1397</v>
      </c>
      <c r="G487" t="s">
        <v>597</v>
      </c>
      <c r="H487" t="s">
        <v>147</v>
      </c>
      <c r="I487">
        <v>176</v>
      </c>
      <c r="J487">
        <v>13</v>
      </c>
      <c r="K487">
        <v>1</v>
      </c>
      <c r="L487" t="s">
        <v>142</v>
      </c>
    </row>
    <row r="488" spans="1:12" x14ac:dyDescent="0.3">
      <c r="A488" t="s">
        <v>54</v>
      </c>
      <c r="B488" t="s">
        <v>147</v>
      </c>
      <c r="C488">
        <v>19</v>
      </c>
      <c r="D488" t="s">
        <v>143</v>
      </c>
      <c r="E488" t="s">
        <v>1398</v>
      </c>
      <c r="F488" t="s">
        <v>1399</v>
      </c>
      <c r="G488" t="s">
        <v>1400</v>
      </c>
      <c r="H488" t="s">
        <v>167</v>
      </c>
      <c r="I488">
        <v>184</v>
      </c>
      <c r="J488">
        <v>49</v>
      </c>
      <c r="K488">
        <v>2</v>
      </c>
      <c r="L488" t="s">
        <v>142</v>
      </c>
    </row>
    <row r="489" spans="1:12" x14ac:dyDescent="0.3">
      <c r="A489" t="s">
        <v>54</v>
      </c>
      <c r="B489" t="s">
        <v>147</v>
      </c>
      <c r="C489">
        <v>20</v>
      </c>
      <c r="D489" t="s">
        <v>163</v>
      </c>
      <c r="E489" t="s">
        <v>1401</v>
      </c>
      <c r="F489" t="s">
        <v>1402</v>
      </c>
      <c r="G489" t="s">
        <v>597</v>
      </c>
      <c r="H489" t="s">
        <v>147</v>
      </c>
      <c r="I489">
        <v>182</v>
      </c>
      <c r="J489">
        <v>15</v>
      </c>
      <c r="K489">
        <v>3</v>
      </c>
      <c r="L489" t="s">
        <v>142</v>
      </c>
    </row>
    <row r="490" spans="1:12" x14ac:dyDescent="0.3">
      <c r="A490" t="s">
        <v>54</v>
      </c>
      <c r="B490" t="s">
        <v>147</v>
      </c>
      <c r="C490">
        <v>21</v>
      </c>
      <c r="D490" t="s">
        <v>143</v>
      </c>
      <c r="E490" t="s">
        <v>1403</v>
      </c>
      <c r="F490" t="s">
        <v>1404</v>
      </c>
      <c r="G490" t="s">
        <v>597</v>
      </c>
      <c r="H490" t="s">
        <v>147</v>
      </c>
      <c r="I490">
        <v>184</v>
      </c>
      <c r="J490">
        <v>42</v>
      </c>
      <c r="K490">
        <v>0</v>
      </c>
      <c r="L490" t="s">
        <v>142</v>
      </c>
    </row>
    <row r="491" spans="1:12" x14ac:dyDescent="0.3">
      <c r="A491" t="s">
        <v>54</v>
      </c>
      <c r="B491" t="s">
        <v>147</v>
      </c>
      <c r="C491">
        <v>22</v>
      </c>
      <c r="D491" t="s">
        <v>163</v>
      </c>
      <c r="E491" t="s">
        <v>1405</v>
      </c>
      <c r="F491" t="s">
        <v>1406</v>
      </c>
      <c r="G491" t="s">
        <v>806</v>
      </c>
      <c r="H491" t="s">
        <v>194</v>
      </c>
      <c r="I491">
        <v>192</v>
      </c>
      <c r="J491">
        <v>7</v>
      </c>
      <c r="K491">
        <v>2</v>
      </c>
      <c r="L491" t="s">
        <v>142</v>
      </c>
    </row>
    <row r="492" spans="1:12" x14ac:dyDescent="0.3">
      <c r="A492" t="s">
        <v>54</v>
      </c>
      <c r="B492" t="s">
        <v>147</v>
      </c>
      <c r="C492">
        <v>23</v>
      </c>
      <c r="D492" t="s">
        <v>137</v>
      </c>
      <c r="E492" t="s">
        <v>1407</v>
      </c>
      <c r="F492" t="s">
        <v>1408</v>
      </c>
      <c r="G492" t="s">
        <v>943</v>
      </c>
      <c r="H492" t="s">
        <v>147</v>
      </c>
      <c r="I492">
        <v>193</v>
      </c>
      <c r="J492">
        <v>0</v>
      </c>
      <c r="K492">
        <v>0</v>
      </c>
      <c r="L492" t="s">
        <v>142</v>
      </c>
    </row>
    <row r="493" spans="1:12" x14ac:dyDescent="0.3">
      <c r="A493" t="s">
        <v>54</v>
      </c>
      <c r="B493" t="s">
        <v>147</v>
      </c>
      <c r="C493">
        <v>24</v>
      </c>
      <c r="D493" t="s">
        <v>158</v>
      </c>
      <c r="E493" t="s">
        <v>1409</v>
      </c>
      <c r="F493" t="s">
        <v>1410</v>
      </c>
      <c r="G493" t="s">
        <v>193</v>
      </c>
      <c r="H493" t="s">
        <v>194</v>
      </c>
      <c r="I493">
        <v>180</v>
      </c>
      <c r="J493">
        <v>14</v>
      </c>
      <c r="K493">
        <v>2</v>
      </c>
      <c r="L493" t="s">
        <v>142</v>
      </c>
    </row>
    <row r="494" spans="1:12" x14ac:dyDescent="0.3">
      <c r="A494" t="s">
        <v>54</v>
      </c>
      <c r="B494" t="s">
        <v>147</v>
      </c>
      <c r="C494">
        <v>25</v>
      </c>
      <c r="D494" t="s">
        <v>158</v>
      </c>
      <c r="E494" t="s">
        <v>1411</v>
      </c>
      <c r="F494" t="s">
        <v>1412</v>
      </c>
      <c r="G494" t="s">
        <v>971</v>
      </c>
      <c r="H494" t="s">
        <v>147</v>
      </c>
      <c r="I494">
        <v>183</v>
      </c>
      <c r="J494">
        <v>10</v>
      </c>
      <c r="K494">
        <v>1</v>
      </c>
      <c r="L494" t="s">
        <v>142</v>
      </c>
    </row>
    <row r="495" spans="1:12" x14ac:dyDescent="0.3">
      <c r="A495" t="s">
        <v>54</v>
      </c>
      <c r="B495" t="s">
        <v>147</v>
      </c>
      <c r="C495">
        <v>26</v>
      </c>
      <c r="D495" t="s">
        <v>143</v>
      </c>
      <c r="E495" t="s">
        <v>1413</v>
      </c>
      <c r="F495" t="s">
        <v>1414</v>
      </c>
      <c r="G495" t="s">
        <v>806</v>
      </c>
      <c r="H495" t="s">
        <v>194</v>
      </c>
      <c r="I495">
        <v>192</v>
      </c>
      <c r="J495">
        <v>7</v>
      </c>
      <c r="K495">
        <v>0</v>
      </c>
      <c r="L495" t="s">
        <v>142</v>
      </c>
    </row>
    <row r="496" spans="1:12" x14ac:dyDescent="0.3">
      <c r="A496" t="s">
        <v>36</v>
      </c>
      <c r="B496" t="s">
        <v>177</v>
      </c>
      <c r="C496">
        <v>1</v>
      </c>
      <c r="D496" t="s">
        <v>137</v>
      </c>
      <c r="E496" t="s">
        <v>1415</v>
      </c>
      <c r="F496" t="s">
        <v>1416</v>
      </c>
      <c r="G496" t="s">
        <v>437</v>
      </c>
      <c r="H496" t="s">
        <v>177</v>
      </c>
      <c r="I496">
        <v>193</v>
      </c>
      <c r="J496">
        <v>128</v>
      </c>
      <c r="K496">
        <v>0</v>
      </c>
      <c r="L496" t="s">
        <v>142</v>
      </c>
    </row>
    <row r="497" spans="1:12" x14ac:dyDescent="0.3">
      <c r="A497" t="s">
        <v>36</v>
      </c>
      <c r="B497" t="s">
        <v>177</v>
      </c>
      <c r="C497">
        <v>2</v>
      </c>
      <c r="D497" t="s">
        <v>143</v>
      </c>
      <c r="E497" t="s">
        <v>1417</v>
      </c>
      <c r="F497" t="s">
        <v>1418</v>
      </c>
      <c r="G497" t="s">
        <v>403</v>
      </c>
      <c r="H497" t="s">
        <v>219</v>
      </c>
      <c r="I497">
        <v>190</v>
      </c>
      <c r="J497">
        <v>86</v>
      </c>
      <c r="K497">
        <v>3</v>
      </c>
      <c r="L497" t="s">
        <v>142</v>
      </c>
    </row>
    <row r="498" spans="1:12" x14ac:dyDescent="0.3">
      <c r="A498" t="s">
        <v>36</v>
      </c>
      <c r="B498" t="s">
        <v>177</v>
      </c>
      <c r="C498">
        <v>3</v>
      </c>
      <c r="D498" t="s">
        <v>143</v>
      </c>
      <c r="E498" t="s">
        <v>1419</v>
      </c>
      <c r="F498" t="s">
        <v>1420</v>
      </c>
      <c r="G498" t="s">
        <v>212</v>
      </c>
      <c r="H498" t="s">
        <v>177</v>
      </c>
      <c r="I498">
        <v>189</v>
      </c>
      <c r="J498">
        <v>15</v>
      </c>
      <c r="K498">
        <v>0</v>
      </c>
      <c r="L498" t="s">
        <v>142</v>
      </c>
    </row>
    <row r="499" spans="1:12" x14ac:dyDescent="0.3">
      <c r="A499" t="s">
        <v>36</v>
      </c>
      <c r="B499" t="s">
        <v>177</v>
      </c>
      <c r="C499">
        <v>4</v>
      </c>
      <c r="D499" t="s">
        <v>143</v>
      </c>
      <c r="E499" t="s">
        <v>1421</v>
      </c>
      <c r="F499" t="s">
        <v>1422</v>
      </c>
      <c r="G499" t="s">
        <v>437</v>
      </c>
      <c r="H499" t="s">
        <v>177</v>
      </c>
      <c r="I499">
        <v>195</v>
      </c>
      <c r="J499">
        <v>51</v>
      </c>
      <c r="K499">
        <v>1</v>
      </c>
      <c r="L499" t="s">
        <v>142</v>
      </c>
    </row>
    <row r="500" spans="1:12" x14ac:dyDescent="0.3">
      <c r="A500" t="s">
        <v>36</v>
      </c>
      <c r="B500" t="s">
        <v>177</v>
      </c>
      <c r="C500">
        <v>5</v>
      </c>
      <c r="D500" t="s">
        <v>158</v>
      </c>
      <c r="E500" t="s">
        <v>1423</v>
      </c>
      <c r="F500" t="s">
        <v>1424</v>
      </c>
      <c r="G500" t="s">
        <v>437</v>
      </c>
      <c r="H500" t="s">
        <v>177</v>
      </c>
      <c r="I500">
        <v>188</v>
      </c>
      <c r="J500">
        <v>15</v>
      </c>
      <c r="K500">
        <v>1</v>
      </c>
      <c r="L500" t="s">
        <v>142</v>
      </c>
    </row>
    <row r="501" spans="1:12" x14ac:dyDescent="0.3">
      <c r="A501" t="s">
        <v>36</v>
      </c>
      <c r="B501" t="s">
        <v>177</v>
      </c>
      <c r="C501">
        <v>6</v>
      </c>
      <c r="D501" t="s">
        <v>143</v>
      </c>
      <c r="E501" t="s">
        <v>1425</v>
      </c>
      <c r="F501" t="s">
        <v>1426</v>
      </c>
      <c r="G501" t="s">
        <v>437</v>
      </c>
      <c r="H501" t="s">
        <v>177</v>
      </c>
      <c r="I501">
        <v>177</v>
      </c>
      <c r="J501">
        <v>114</v>
      </c>
      <c r="K501">
        <v>10</v>
      </c>
      <c r="L501" t="s">
        <v>142</v>
      </c>
    </row>
    <row r="502" spans="1:12" x14ac:dyDescent="0.3">
      <c r="A502" t="s">
        <v>36</v>
      </c>
      <c r="B502" t="s">
        <v>177</v>
      </c>
      <c r="C502">
        <v>7</v>
      </c>
      <c r="D502" t="s">
        <v>163</v>
      </c>
      <c r="E502" t="s">
        <v>1427</v>
      </c>
      <c r="F502" t="s">
        <v>1428</v>
      </c>
      <c r="G502" t="s">
        <v>479</v>
      </c>
      <c r="H502" t="s">
        <v>194</v>
      </c>
      <c r="I502">
        <v>190</v>
      </c>
      <c r="J502">
        <v>62</v>
      </c>
      <c r="K502">
        <v>25</v>
      </c>
      <c r="L502" t="s">
        <v>142</v>
      </c>
    </row>
    <row r="503" spans="1:12" x14ac:dyDescent="0.3">
      <c r="A503" t="s">
        <v>36</v>
      </c>
      <c r="B503" t="s">
        <v>177</v>
      </c>
      <c r="C503">
        <v>8</v>
      </c>
      <c r="D503" t="s">
        <v>158</v>
      </c>
      <c r="E503" t="s">
        <v>1429</v>
      </c>
      <c r="F503" t="s">
        <v>1430</v>
      </c>
      <c r="G503" t="s">
        <v>437</v>
      </c>
      <c r="H503" t="s">
        <v>177</v>
      </c>
      <c r="I503">
        <v>189</v>
      </c>
      <c r="J503">
        <v>73</v>
      </c>
      <c r="K503">
        <v>15</v>
      </c>
      <c r="L503" t="s">
        <v>142</v>
      </c>
    </row>
    <row r="504" spans="1:12" x14ac:dyDescent="0.3">
      <c r="A504" t="s">
        <v>36</v>
      </c>
      <c r="B504" t="s">
        <v>177</v>
      </c>
      <c r="C504">
        <v>9</v>
      </c>
      <c r="D504" t="s">
        <v>158</v>
      </c>
      <c r="E504" t="s">
        <v>1431</v>
      </c>
      <c r="F504" t="s">
        <v>1432</v>
      </c>
      <c r="G504" t="s">
        <v>543</v>
      </c>
      <c r="H504" t="s">
        <v>177</v>
      </c>
      <c r="I504">
        <v>185</v>
      </c>
      <c r="J504">
        <v>6</v>
      </c>
      <c r="K504">
        <v>1</v>
      </c>
      <c r="L504" t="s">
        <v>142</v>
      </c>
    </row>
    <row r="505" spans="1:12" x14ac:dyDescent="0.3">
      <c r="A505" t="s">
        <v>36</v>
      </c>
      <c r="B505" t="s">
        <v>177</v>
      </c>
      <c r="C505">
        <v>10</v>
      </c>
      <c r="D505" t="s">
        <v>158</v>
      </c>
      <c r="E505" t="s">
        <v>1433</v>
      </c>
      <c r="F505" t="s">
        <v>1434</v>
      </c>
      <c r="G505" t="s">
        <v>437</v>
      </c>
      <c r="H505" t="s">
        <v>177</v>
      </c>
      <c r="I505">
        <v>180</v>
      </c>
      <c r="J505">
        <v>46</v>
      </c>
      <c r="K505">
        <v>10</v>
      </c>
      <c r="L505" t="s">
        <v>142</v>
      </c>
    </row>
    <row r="506" spans="1:12" x14ac:dyDescent="0.3">
      <c r="A506" t="s">
        <v>36</v>
      </c>
      <c r="B506" t="s">
        <v>177</v>
      </c>
      <c r="C506">
        <v>11</v>
      </c>
      <c r="D506" t="s">
        <v>163</v>
      </c>
      <c r="E506" t="s">
        <v>1435</v>
      </c>
      <c r="F506" t="s">
        <v>1436</v>
      </c>
      <c r="G506" t="s">
        <v>607</v>
      </c>
      <c r="H506" t="s">
        <v>194</v>
      </c>
      <c r="I506">
        <v>198</v>
      </c>
      <c r="J506">
        <v>12</v>
      </c>
      <c r="K506">
        <v>4</v>
      </c>
      <c r="L506" t="s">
        <v>142</v>
      </c>
    </row>
    <row r="507" spans="1:12" x14ac:dyDescent="0.3">
      <c r="A507" t="s">
        <v>36</v>
      </c>
      <c r="B507" t="s">
        <v>177</v>
      </c>
      <c r="C507">
        <v>12</v>
      </c>
      <c r="D507" t="s">
        <v>137</v>
      </c>
      <c r="E507" t="s">
        <v>1437</v>
      </c>
      <c r="F507" t="s">
        <v>1438</v>
      </c>
      <c r="G507" t="s">
        <v>442</v>
      </c>
      <c r="H507" t="s">
        <v>177</v>
      </c>
      <c r="I507">
        <v>187</v>
      </c>
      <c r="J507">
        <v>13</v>
      </c>
      <c r="K507">
        <v>0</v>
      </c>
      <c r="L507" t="s">
        <v>142</v>
      </c>
    </row>
    <row r="508" spans="1:12" x14ac:dyDescent="0.3">
      <c r="A508" t="s">
        <v>36</v>
      </c>
      <c r="B508" t="s">
        <v>177</v>
      </c>
      <c r="C508">
        <v>13</v>
      </c>
      <c r="D508" t="s">
        <v>158</v>
      </c>
      <c r="E508" t="s">
        <v>1439</v>
      </c>
      <c r="F508" t="s">
        <v>1440</v>
      </c>
      <c r="G508" t="s">
        <v>466</v>
      </c>
      <c r="H508" t="s">
        <v>194</v>
      </c>
      <c r="I508">
        <v>181</v>
      </c>
      <c r="J508">
        <v>19</v>
      </c>
      <c r="K508">
        <v>1</v>
      </c>
      <c r="L508" t="s">
        <v>142</v>
      </c>
    </row>
    <row r="509" spans="1:12" x14ac:dyDescent="0.3">
      <c r="A509" t="s">
        <v>36</v>
      </c>
      <c r="B509" t="s">
        <v>177</v>
      </c>
      <c r="C509">
        <v>14</v>
      </c>
      <c r="D509" t="s">
        <v>163</v>
      </c>
      <c r="E509" t="s">
        <v>1441</v>
      </c>
      <c r="F509" t="s">
        <v>986</v>
      </c>
      <c r="G509" t="s">
        <v>212</v>
      </c>
      <c r="H509" t="s">
        <v>177</v>
      </c>
      <c r="I509">
        <v>185</v>
      </c>
      <c r="J509">
        <v>10</v>
      </c>
      <c r="K509">
        <v>0</v>
      </c>
      <c r="L509" t="s">
        <v>142</v>
      </c>
    </row>
    <row r="510" spans="1:12" x14ac:dyDescent="0.3">
      <c r="A510" t="s">
        <v>36</v>
      </c>
      <c r="B510" t="s">
        <v>177</v>
      </c>
      <c r="C510">
        <v>15</v>
      </c>
      <c r="D510" t="s">
        <v>143</v>
      </c>
      <c r="E510" t="s">
        <v>1442</v>
      </c>
      <c r="F510" t="s">
        <v>1443</v>
      </c>
      <c r="G510" t="s">
        <v>212</v>
      </c>
      <c r="H510" t="s">
        <v>177</v>
      </c>
      <c r="I510">
        <v>191</v>
      </c>
      <c r="J510">
        <v>29</v>
      </c>
      <c r="K510">
        <v>1</v>
      </c>
      <c r="L510" t="s">
        <v>142</v>
      </c>
    </row>
    <row r="511" spans="1:12" x14ac:dyDescent="0.3">
      <c r="A511" t="s">
        <v>36</v>
      </c>
      <c r="B511" t="s">
        <v>177</v>
      </c>
      <c r="C511">
        <v>16</v>
      </c>
      <c r="D511" t="s">
        <v>158</v>
      </c>
      <c r="E511" t="s">
        <v>1444</v>
      </c>
      <c r="F511" t="s">
        <v>1445</v>
      </c>
      <c r="G511" t="s">
        <v>543</v>
      </c>
      <c r="H511" t="s">
        <v>177</v>
      </c>
      <c r="I511">
        <v>183</v>
      </c>
      <c r="J511">
        <v>9</v>
      </c>
      <c r="K511">
        <v>0</v>
      </c>
      <c r="L511" t="s">
        <v>142</v>
      </c>
    </row>
    <row r="512" spans="1:12" x14ac:dyDescent="0.3">
      <c r="A512" t="s">
        <v>36</v>
      </c>
      <c r="B512" t="s">
        <v>177</v>
      </c>
      <c r="C512">
        <v>17</v>
      </c>
      <c r="D512" t="s">
        <v>158</v>
      </c>
      <c r="E512" t="s">
        <v>1446</v>
      </c>
      <c r="F512" t="s">
        <v>1447</v>
      </c>
      <c r="G512" t="s">
        <v>284</v>
      </c>
      <c r="H512" t="s">
        <v>194</v>
      </c>
      <c r="I512">
        <v>176</v>
      </c>
      <c r="J512">
        <v>45</v>
      </c>
      <c r="K512">
        <v>11</v>
      </c>
      <c r="L512" t="s">
        <v>142</v>
      </c>
    </row>
    <row r="513" spans="1:12" x14ac:dyDescent="0.3">
      <c r="A513" t="s">
        <v>36</v>
      </c>
      <c r="B513" t="s">
        <v>177</v>
      </c>
      <c r="C513">
        <v>18</v>
      </c>
      <c r="D513" t="s">
        <v>143</v>
      </c>
      <c r="E513" t="s">
        <v>1448</v>
      </c>
      <c r="F513" t="s">
        <v>1449</v>
      </c>
      <c r="G513" t="s">
        <v>176</v>
      </c>
      <c r="H513" t="s">
        <v>177</v>
      </c>
      <c r="I513">
        <v>176</v>
      </c>
      <c r="J513">
        <v>8</v>
      </c>
      <c r="K513">
        <v>1</v>
      </c>
      <c r="L513" t="s">
        <v>142</v>
      </c>
    </row>
    <row r="514" spans="1:12" x14ac:dyDescent="0.3">
      <c r="A514" t="s">
        <v>36</v>
      </c>
      <c r="B514" t="s">
        <v>177</v>
      </c>
      <c r="C514">
        <v>19</v>
      </c>
      <c r="D514" t="s">
        <v>158</v>
      </c>
      <c r="E514" t="s">
        <v>1450</v>
      </c>
      <c r="F514" t="s">
        <v>1451</v>
      </c>
      <c r="G514" t="s">
        <v>861</v>
      </c>
      <c r="H514" t="s">
        <v>523</v>
      </c>
      <c r="I514">
        <v>183</v>
      </c>
      <c r="J514">
        <v>80</v>
      </c>
      <c r="K514">
        <v>18</v>
      </c>
      <c r="L514" t="s">
        <v>142</v>
      </c>
    </row>
    <row r="515" spans="1:12" x14ac:dyDescent="0.3">
      <c r="A515" t="s">
        <v>36</v>
      </c>
      <c r="B515" t="s">
        <v>177</v>
      </c>
      <c r="C515">
        <v>20</v>
      </c>
      <c r="D515" t="s">
        <v>158</v>
      </c>
      <c r="E515" t="s">
        <v>1452</v>
      </c>
      <c r="F515" t="s">
        <v>1453</v>
      </c>
      <c r="G515" t="s">
        <v>394</v>
      </c>
      <c r="H515" t="s">
        <v>177</v>
      </c>
      <c r="I515">
        <v>178</v>
      </c>
      <c r="J515">
        <v>13</v>
      </c>
      <c r="K515">
        <v>1</v>
      </c>
      <c r="L515" t="s">
        <v>142</v>
      </c>
    </row>
    <row r="516" spans="1:12" x14ac:dyDescent="0.3">
      <c r="A516" t="s">
        <v>36</v>
      </c>
      <c r="B516" t="s">
        <v>177</v>
      </c>
      <c r="C516">
        <v>21</v>
      </c>
      <c r="D516" t="s">
        <v>137</v>
      </c>
      <c r="E516" t="s">
        <v>1454</v>
      </c>
      <c r="F516" t="s">
        <v>1455</v>
      </c>
      <c r="G516" t="s">
        <v>543</v>
      </c>
      <c r="H516" t="s">
        <v>177</v>
      </c>
      <c r="I516">
        <v>193</v>
      </c>
      <c r="J516">
        <v>3</v>
      </c>
      <c r="K516">
        <v>0</v>
      </c>
      <c r="L516" t="s">
        <v>142</v>
      </c>
    </row>
    <row r="517" spans="1:12" x14ac:dyDescent="0.3">
      <c r="A517" t="s">
        <v>36</v>
      </c>
      <c r="B517" t="s">
        <v>177</v>
      </c>
      <c r="C517">
        <v>22</v>
      </c>
      <c r="D517" t="s">
        <v>143</v>
      </c>
      <c r="E517" t="s">
        <v>1456</v>
      </c>
      <c r="F517" t="s">
        <v>1457</v>
      </c>
      <c r="G517" t="s">
        <v>391</v>
      </c>
      <c r="H517" t="s">
        <v>177</v>
      </c>
      <c r="I517">
        <v>180</v>
      </c>
      <c r="J517">
        <v>39</v>
      </c>
      <c r="K517">
        <v>1</v>
      </c>
      <c r="L517" t="s">
        <v>142</v>
      </c>
    </row>
    <row r="518" spans="1:12" x14ac:dyDescent="0.3">
      <c r="A518" t="s">
        <v>36</v>
      </c>
      <c r="B518" t="s">
        <v>177</v>
      </c>
      <c r="C518">
        <v>23</v>
      </c>
      <c r="D518" t="s">
        <v>158</v>
      </c>
      <c r="E518" t="s">
        <v>1458</v>
      </c>
      <c r="F518" t="s">
        <v>782</v>
      </c>
      <c r="G518" t="s">
        <v>212</v>
      </c>
      <c r="H518" t="s">
        <v>177</v>
      </c>
      <c r="I518">
        <v>190</v>
      </c>
      <c r="J518">
        <v>12</v>
      </c>
      <c r="K518">
        <v>2</v>
      </c>
      <c r="L518" t="s">
        <v>142</v>
      </c>
    </row>
    <row r="519" spans="1:12" x14ac:dyDescent="0.3">
      <c r="A519" t="s">
        <v>36</v>
      </c>
      <c r="B519" t="s">
        <v>177</v>
      </c>
      <c r="C519">
        <v>24</v>
      </c>
      <c r="D519" t="s">
        <v>143</v>
      </c>
      <c r="E519" t="s">
        <v>1459</v>
      </c>
      <c r="F519" t="s">
        <v>1460</v>
      </c>
      <c r="G519" t="s">
        <v>607</v>
      </c>
      <c r="H519" t="s">
        <v>194</v>
      </c>
      <c r="I519">
        <v>194</v>
      </c>
      <c r="J519">
        <v>7</v>
      </c>
      <c r="K519">
        <v>0</v>
      </c>
      <c r="L519" t="s">
        <v>142</v>
      </c>
    </row>
    <row r="520" spans="1:12" x14ac:dyDescent="0.3">
      <c r="A520" t="s">
        <v>36</v>
      </c>
      <c r="B520" t="s">
        <v>177</v>
      </c>
      <c r="C520">
        <v>25</v>
      </c>
      <c r="D520" t="s">
        <v>158</v>
      </c>
      <c r="E520" t="s">
        <v>1461</v>
      </c>
      <c r="F520" t="s">
        <v>1462</v>
      </c>
      <c r="G520" t="s">
        <v>391</v>
      </c>
      <c r="H520" t="s">
        <v>177</v>
      </c>
      <c r="I520">
        <v>191</v>
      </c>
      <c r="J520">
        <v>1</v>
      </c>
      <c r="K520">
        <v>1</v>
      </c>
      <c r="L520" t="s">
        <v>142</v>
      </c>
    </row>
    <row r="521" spans="1:12" x14ac:dyDescent="0.3">
      <c r="A521" t="s">
        <v>36</v>
      </c>
      <c r="B521" t="s">
        <v>177</v>
      </c>
      <c r="C521">
        <v>26</v>
      </c>
      <c r="D521" t="s">
        <v>163</v>
      </c>
      <c r="E521" t="s">
        <v>1463</v>
      </c>
      <c r="F521" t="s">
        <v>1464</v>
      </c>
      <c r="G521" t="s">
        <v>543</v>
      </c>
      <c r="H521" t="s">
        <v>177</v>
      </c>
      <c r="I521">
        <v>179</v>
      </c>
      <c r="J521">
        <v>13</v>
      </c>
      <c r="K521">
        <v>9</v>
      </c>
      <c r="L521" t="s">
        <v>142</v>
      </c>
    </row>
    <row r="522" spans="1:12" x14ac:dyDescent="0.3">
      <c r="A522" t="s">
        <v>67</v>
      </c>
      <c r="B522" t="s">
        <v>1465</v>
      </c>
      <c r="C522">
        <v>1</v>
      </c>
      <c r="D522" t="s">
        <v>137</v>
      </c>
      <c r="E522" t="s">
        <v>1466</v>
      </c>
      <c r="F522" t="s">
        <v>1467</v>
      </c>
      <c r="G522" t="s">
        <v>1468</v>
      </c>
      <c r="H522" t="s">
        <v>141</v>
      </c>
      <c r="I522">
        <v>188</v>
      </c>
      <c r="J522">
        <v>32</v>
      </c>
      <c r="K522">
        <v>0</v>
      </c>
      <c r="L522" t="s">
        <v>142</v>
      </c>
    </row>
    <row r="523" spans="1:12" x14ac:dyDescent="0.3">
      <c r="A523" t="s">
        <v>67</v>
      </c>
      <c r="B523" t="s">
        <v>1465</v>
      </c>
      <c r="C523">
        <v>2</v>
      </c>
      <c r="D523" t="s">
        <v>143</v>
      </c>
      <c r="E523" t="s">
        <v>1469</v>
      </c>
      <c r="F523" t="s">
        <v>1470</v>
      </c>
      <c r="G523" t="s">
        <v>1366</v>
      </c>
      <c r="H523" t="s">
        <v>147</v>
      </c>
      <c r="I523">
        <v>173</v>
      </c>
      <c r="J523">
        <v>25</v>
      </c>
      <c r="K523">
        <v>1</v>
      </c>
      <c r="L523" t="s">
        <v>142</v>
      </c>
    </row>
    <row r="524" spans="1:12" x14ac:dyDescent="0.3">
      <c r="A524" t="s">
        <v>67</v>
      </c>
      <c r="B524" t="s">
        <v>1465</v>
      </c>
      <c r="C524">
        <v>3</v>
      </c>
      <c r="D524" t="s">
        <v>158</v>
      </c>
      <c r="E524" t="s">
        <v>1471</v>
      </c>
      <c r="F524" t="s">
        <v>1472</v>
      </c>
      <c r="G524" t="s">
        <v>1299</v>
      </c>
      <c r="H524" t="s">
        <v>340</v>
      </c>
      <c r="I524">
        <v>182</v>
      </c>
      <c r="J524">
        <v>15</v>
      </c>
      <c r="K524">
        <v>2</v>
      </c>
      <c r="L524" t="s">
        <v>142</v>
      </c>
    </row>
    <row r="525" spans="1:12" x14ac:dyDescent="0.3">
      <c r="A525" t="s">
        <v>67</v>
      </c>
      <c r="B525" t="s">
        <v>1465</v>
      </c>
      <c r="C525">
        <v>4</v>
      </c>
      <c r="D525" t="s">
        <v>143</v>
      </c>
      <c r="E525" t="s">
        <v>1473</v>
      </c>
      <c r="F525" t="s">
        <v>1474</v>
      </c>
      <c r="G525" t="s">
        <v>203</v>
      </c>
      <c r="H525" t="s">
        <v>177</v>
      </c>
      <c r="I525">
        <v>188</v>
      </c>
      <c r="J525">
        <v>13</v>
      </c>
      <c r="K525">
        <v>0</v>
      </c>
      <c r="L525" t="s">
        <v>142</v>
      </c>
    </row>
    <row r="526" spans="1:12" x14ac:dyDescent="0.3">
      <c r="A526" t="s">
        <v>67</v>
      </c>
      <c r="B526" t="s">
        <v>1465</v>
      </c>
      <c r="C526">
        <v>5</v>
      </c>
      <c r="D526" t="s">
        <v>158</v>
      </c>
      <c r="E526" t="s">
        <v>1475</v>
      </c>
      <c r="F526" t="s">
        <v>1476</v>
      </c>
      <c r="G526" t="s">
        <v>670</v>
      </c>
      <c r="H526" t="s">
        <v>219</v>
      </c>
      <c r="I526">
        <v>185</v>
      </c>
      <c r="J526">
        <v>62</v>
      </c>
      <c r="K526">
        <v>16</v>
      </c>
      <c r="L526" t="s">
        <v>142</v>
      </c>
    </row>
    <row r="527" spans="1:12" x14ac:dyDescent="0.3">
      <c r="A527" t="s">
        <v>67</v>
      </c>
      <c r="B527" t="s">
        <v>1465</v>
      </c>
      <c r="C527">
        <v>6</v>
      </c>
      <c r="D527" t="s">
        <v>143</v>
      </c>
      <c r="E527" t="s">
        <v>1477</v>
      </c>
      <c r="F527" t="s">
        <v>1478</v>
      </c>
      <c r="G527" t="s">
        <v>1479</v>
      </c>
      <c r="H527" t="s">
        <v>219</v>
      </c>
      <c r="I527">
        <v>188</v>
      </c>
      <c r="J527">
        <v>5</v>
      </c>
      <c r="K527">
        <v>0</v>
      </c>
      <c r="L527" t="s">
        <v>142</v>
      </c>
    </row>
    <row r="528" spans="1:12" x14ac:dyDescent="0.3">
      <c r="A528" t="s">
        <v>67</v>
      </c>
      <c r="B528" t="s">
        <v>1465</v>
      </c>
      <c r="C528">
        <v>7</v>
      </c>
      <c r="D528" t="s">
        <v>163</v>
      </c>
      <c r="E528" t="s">
        <v>1480</v>
      </c>
      <c r="F528" t="s">
        <v>1481</v>
      </c>
      <c r="G528" t="s">
        <v>359</v>
      </c>
      <c r="H528" t="s">
        <v>194</v>
      </c>
      <c r="I528">
        <v>177</v>
      </c>
      <c r="J528">
        <v>32</v>
      </c>
      <c r="K528">
        <v>3</v>
      </c>
      <c r="L528" t="s">
        <v>142</v>
      </c>
    </row>
    <row r="529" spans="1:12" x14ac:dyDescent="0.3">
      <c r="A529" t="s">
        <v>67</v>
      </c>
      <c r="B529" t="s">
        <v>1465</v>
      </c>
      <c r="C529">
        <v>8</v>
      </c>
      <c r="D529" t="s">
        <v>158</v>
      </c>
      <c r="E529" t="s">
        <v>1482</v>
      </c>
      <c r="F529" t="s">
        <v>1483</v>
      </c>
      <c r="G529" t="s">
        <v>1281</v>
      </c>
      <c r="H529" t="s">
        <v>219</v>
      </c>
      <c r="I529">
        <v>183</v>
      </c>
      <c r="J529">
        <v>12</v>
      </c>
      <c r="K529">
        <v>0</v>
      </c>
      <c r="L529" t="s">
        <v>142</v>
      </c>
    </row>
    <row r="530" spans="1:12" x14ac:dyDescent="0.3">
      <c r="A530" t="s">
        <v>67</v>
      </c>
      <c r="B530" t="s">
        <v>1465</v>
      </c>
      <c r="C530">
        <v>9</v>
      </c>
      <c r="D530" t="s">
        <v>163</v>
      </c>
      <c r="E530" t="s">
        <v>1484</v>
      </c>
      <c r="F530" t="s">
        <v>1485</v>
      </c>
      <c r="G530" t="s">
        <v>359</v>
      </c>
      <c r="H530" t="s">
        <v>194</v>
      </c>
      <c r="I530">
        <v>182</v>
      </c>
      <c r="J530">
        <v>124</v>
      </c>
      <c r="K530">
        <v>34</v>
      </c>
      <c r="L530" t="s">
        <v>142</v>
      </c>
    </row>
    <row r="531" spans="1:12" x14ac:dyDescent="0.3">
      <c r="A531" t="s">
        <v>67</v>
      </c>
      <c r="B531" t="s">
        <v>1465</v>
      </c>
      <c r="C531">
        <v>10</v>
      </c>
      <c r="D531" t="s">
        <v>163</v>
      </c>
      <c r="E531" t="s">
        <v>1486</v>
      </c>
      <c r="F531" t="s">
        <v>1487</v>
      </c>
      <c r="G531" t="s">
        <v>1488</v>
      </c>
      <c r="H531" t="s">
        <v>194</v>
      </c>
      <c r="I531">
        <v>182</v>
      </c>
      <c r="J531">
        <v>10</v>
      </c>
      <c r="K531">
        <v>1</v>
      </c>
      <c r="L531" t="s">
        <v>142</v>
      </c>
    </row>
    <row r="532" spans="1:12" x14ac:dyDescent="0.3">
      <c r="A532" t="s">
        <v>67</v>
      </c>
      <c r="B532" t="s">
        <v>1465</v>
      </c>
      <c r="C532">
        <v>11</v>
      </c>
      <c r="D532" t="s">
        <v>158</v>
      </c>
      <c r="E532" t="s">
        <v>1489</v>
      </c>
      <c r="F532" t="s">
        <v>1490</v>
      </c>
      <c r="G532" t="s">
        <v>193</v>
      </c>
      <c r="H532" t="s">
        <v>194</v>
      </c>
      <c r="I532">
        <v>185</v>
      </c>
      <c r="J532">
        <v>38</v>
      </c>
      <c r="K532">
        <v>3</v>
      </c>
      <c r="L532" t="s">
        <v>142</v>
      </c>
    </row>
    <row r="533" spans="1:12" x14ac:dyDescent="0.3">
      <c r="A533" t="s">
        <v>67</v>
      </c>
      <c r="B533" t="s">
        <v>1465</v>
      </c>
      <c r="C533">
        <v>12</v>
      </c>
      <c r="D533" t="s">
        <v>137</v>
      </c>
      <c r="E533" t="s">
        <v>1491</v>
      </c>
      <c r="F533" t="s">
        <v>1492</v>
      </c>
      <c r="G533" t="s">
        <v>1493</v>
      </c>
      <c r="H533" t="s">
        <v>667</v>
      </c>
      <c r="I533">
        <v>190</v>
      </c>
      <c r="J533">
        <v>1</v>
      </c>
      <c r="K533">
        <v>0</v>
      </c>
      <c r="L533" t="s">
        <v>142</v>
      </c>
    </row>
    <row r="534" spans="1:12" x14ac:dyDescent="0.3">
      <c r="A534" t="s">
        <v>67</v>
      </c>
      <c r="B534" t="s">
        <v>1465</v>
      </c>
      <c r="C534">
        <v>13</v>
      </c>
      <c r="D534" t="s">
        <v>163</v>
      </c>
      <c r="E534" t="s">
        <v>1494</v>
      </c>
      <c r="F534" t="s">
        <v>1495</v>
      </c>
      <c r="G534" t="s">
        <v>1496</v>
      </c>
      <c r="H534" t="s">
        <v>167</v>
      </c>
      <c r="I534">
        <v>172</v>
      </c>
      <c r="J534">
        <v>9</v>
      </c>
      <c r="K534">
        <v>0</v>
      </c>
      <c r="L534" t="s">
        <v>142</v>
      </c>
    </row>
    <row r="535" spans="1:12" x14ac:dyDescent="0.3">
      <c r="A535" t="s">
        <v>67</v>
      </c>
      <c r="B535" t="s">
        <v>1465</v>
      </c>
      <c r="C535">
        <v>14</v>
      </c>
      <c r="D535" t="s">
        <v>143</v>
      </c>
      <c r="E535" t="s">
        <v>1497</v>
      </c>
      <c r="F535" t="s">
        <v>1498</v>
      </c>
      <c r="G535" t="s">
        <v>1499</v>
      </c>
      <c r="H535" t="s">
        <v>147</v>
      </c>
      <c r="I535">
        <v>178</v>
      </c>
      <c r="J535">
        <v>44</v>
      </c>
      <c r="K535">
        <v>0</v>
      </c>
      <c r="L535" t="s">
        <v>142</v>
      </c>
    </row>
    <row r="536" spans="1:12" x14ac:dyDescent="0.3">
      <c r="A536" t="s">
        <v>67</v>
      </c>
      <c r="B536" t="s">
        <v>1465</v>
      </c>
      <c r="C536">
        <v>15</v>
      </c>
      <c r="D536" t="s">
        <v>158</v>
      </c>
      <c r="E536" t="s">
        <v>1500</v>
      </c>
      <c r="F536" t="s">
        <v>1501</v>
      </c>
      <c r="G536" t="s">
        <v>1499</v>
      </c>
      <c r="H536" t="s">
        <v>147</v>
      </c>
      <c r="I536">
        <v>182</v>
      </c>
      <c r="J536">
        <v>23</v>
      </c>
      <c r="K536">
        <v>0</v>
      </c>
      <c r="L536" t="s">
        <v>142</v>
      </c>
    </row>
    <row r="537" spans="1:12" x14ac:dyDescent="0.3">
      <c r="A537" t="s">
        <v>67</v>
      </c>
      <c r="B537" t="s">
        <v>1465</v>
      </c>
      <c r="C537">
        <v>16</v>
      </c>
      <c r="D537" t="s">
        <v>137</v>
      </c>
      <c r="E537" t="s">
        <v>1502</v>
      </c>
      <c r="F537" t="s">
        <v>1503</v>
      </c>
      <c r="G537" t="s">
        <v>1504</v>
      </c>
      <c r="H537" t="s">
        <v>1465</v>
      </c>
      <c r="I537">
        <v>188</v>
      </c>
      <c r="J537">
        <v>16</v>
      </c>
      <c r="K537">
        <v>0</v>
      </c>
      <c r="L537" t="s">
        <v>142</v>
      </c>
    </row>
    <row r="538" spans="1:12" x14ac:dyDescent="0.3">
      <c r="A538" t="s">
        <v>67</v>
      </c>
      <c r="B538" t="s">
        <v>1465</v>
      </c>
      <c r="C538">
        <v>17</v>
      </c>
      <c r="D538" t="s">
        <v>143</v>
      </c>
      <c r="E538" t="s">
        <v>1505</v>
      </c>
      <c r="F538" t="s">
        <v>1506</v>
      </c>
      <c r="G538" t="s">
        <v>1507</v>
      </c>
      <c r="H538" t="s">
        <v>886</v>
      </c>
      <c r="I538">
        <v>179</v>
      </c>
      <c r="J538">
        <v>54</v>
      </c>
      <c r="K538">
        <v>1</v>
      </c>
      <c r="L538" t="s">
        <v>142</v>
      </c>
    </row>
    <row r="539" spans="1:12" x14ac:dyDescent="0.3">
      <c r="A539" t="s">
        <v>67</v>
      </c>
      <c r="B539" t="s">
        <v>1465</v>
      </c>
      <c r="C539">
        <v>18</v>
      </c>
      <c r="D539" t="s">
        <v>143</v>
      </c>
      <c r="E539" t="s">
        <v>1508</v>
      </c>
      <c r="F539" t="s">
        <v>1509</v>
      </c>
      <c r="G539" t="s">
        <v>716</v>
      </c>
      <c r="H539" t="s">
        <v>523</v>
      </c>
      <c r="I539">
        <v>197</v>
      </c>
      <c r="J539">
        <v>14</v>
      </c>
      <c r="K539">
        <v>1</v>
      </c>
      <c r="L539" t="s">
        <v>142</v>
      </c>
    </row>
    <row r="540" spans="1:12" x14ac:dyDescent="0.3">
      <c r="A540" t="s">
        <v>67</v>
      </c>
      <c r="B540" t="s">
        <v>1465</v>
      </c>
      <c r="C540">
        <v>19</v>
      </c>
      <c r="D540" t="s">
        <v>163</v>
      </c>
      <c r="E540" t="s">
        <v>1510</v>
      </c>
      <c r="F540" t="s">
        <v>1511</v>
      </c>
      <c r="G540" t="s">
        <v>1512</v>
      </c>
      <c r="H540" t="s">
        <v>219</v>
      </c>
      <c r="I540">
        <v>186</v>
      </c>
      <c r="J540">
        <v>28</v>
      </c>
      <c r="K540">
        <v>2</v>
      </c>
      <c r="L540" t="s">
        <v>142</v>
      </c>
    </row>
    <row r="541" spans="1:12" x14ac:dyDescent="0.3">
      <c r="A541" t="s">
        <v>67</v>
      </c>
      <c r="B541" t="s">
        <v>1465</v>
      </c>
      <c r="C541">
        <v>20</v>
      </c>
      <c r="D541" t="s">
        <v>158</v>
      </c>
      <c r="E541" t="s">
        <v>1513</v>
      </c>
      <c r="F541" t="s">
        <v>1514</v>
      </c>
      <c r="G541" t="s">
        <v>1515</v>
      </c>
      <c r="H541" t="s">
        <v>147</v>
      </c>
      <c r="I541">
        <v>178</v>
      </c>
      <c r="J541">
        <v>0</v>
      </c>
      <c r="K541">
        <v>0</v>
      </c>
      <c r="L541" t="s">
        <v>142</v>
      </c>
    </row>
    <row r="542" spans="1:12" x14ac:dyDescent="0.3">
      <c r="A542" t="s">
        <v>67</v>
      </c>
      <c r="B542" t="s">
        <v>1465</v>
      </c>
      <c r="C542">
        <v>21</v>
      </c>
      <c r="D542" t="s">
        <v>143</v>
      </c>
      <c r="E542" t="s">
        <v>1516</v>
      </c>
      <c r="F542" t="s">
        <v>1517</v>
      </c>
      <c r="G542" t="s">
        <v>190</v>
      </c>
      <c r="H542" t="s">
        <v>147</v>
      </c>
      <c r="I542">
        <v>185</v>
      </c>
      <c r="J542">
        <v>6</v>
      </c>
      <c r="K542">
        <v>0</v>
      </c>
      <c r="L542" t="s">
        <v>142</v>
      </c>
    </row>
    <row r="543" spans="1:12" x14ac:dyDescent="0.3">
      <c r="A543" t="s">
        <v>67</v>
      </c>
      <c r="B543" t="s">
        <v>1465</v>
      </c>
      <c r="C543">
        <v>22</v>
      </c>
      <c r="D543" t="s">
        <v>163</v>
      </c>
      <c r="E543" t="s">
        <v>1518</v>
      </c>
      <c r="F543" t="s">
        <v>1519</v>
      </c>
      <c r="G543" t="s">
        <v>495</v>
      </c>
      <c r="H543" t="s">
        <v>200</v>
      </c>
      <c r="I543">
        <v>174</v>
      </c>
      <c r="J543">
        <v>30</v>
      </c>
      <c r="K543">
        <v>1</v>
      </c>
      <c r="L543" t="s">
        <v>142</v>
      </c>
    </row>
    <row r="544" spans="1:12" x14ac:dyDescent="0.3">
      <c r="A544" t="s">
        <v>67</v>
      </c>
      <c r="B544" t="s">
        <v>1465</v>
      </c>
      <c r="C544">
        <v>23</v>
      </c>
      <c r="D544" t="s">
        <v>143</v>
      </c>
      <c r="E544" t="s">
        <v>1520</v>
      </c>
      <c r="F544" t="s">
        <v>1393</v>
      </c>
      <c r="G544" t="s">
        <v>555</v>
      </c>
      <c r="H544" t="s">
        <v>308</v>
      </c>
      <c r="I544">
        <v>188</v>
      </c>
      <c r="J544">
        <v>3</v>
      </c>
      <c r="K544">
        <v>1</v>
      </c>
      <c r="L544" t="s">
        <v>142</v>
      </c>
    </row>
    <row r="545" spans="1:12" x14ac:dyDescent="0.3">
      <c r="A545" t="s">
        <v>67</v>
      </c>
      <c r="B545" t="s">
        <v>1465</v>
      </c>
      <c r="C545">
        <v>24</v>
      </c>
      <c r="D545" t="s">
        <v>163</v>
      </c>
      <c r="E545" t="s">
        <v>1521</v>
      </c>
      <c r="F545" t="s">
        <v>1522</v>
      </c>
      <c r="G545" t="s">
        <v>239</v>
      </c>
      <c r="H545" t="s">
        <v>147</v>
      </c>
      <c r="I545">
        <v>178</v>
      </c>
      <c r="J545">
        <v>22</v>
      </c>
      <c r="K545">
        <v>4</v>
      </c>
      <c r="L545" t="s">
        <v>142</v>
      </c>
    </row>
    <row r="546" spans="1:12" x14ac:dyDescent="0.3">
      <c r="A546" t="s">
        <v>67</v>
      </c>
      <c r="B546" t="s">
        <v>1465</v>
      </c>
      <c r="C546">
        <v>25</v>
      </c>
      <c r="D546" t="s">
        <v>163</v>
      </c>
      <c r="E546" t="s">
        <v>1523</v>
      </c>
      <c r="F546" t="s">
        <v>1524</v>
      </c>
      <c r="G546" t="s">
        <v>414</v>
      </c>
      <c r="H546" t="s">
        <v>415</v>
      </c>
      <c r="I546">
        <v>179</v>
      </c>
      <c r="J546">
        <v>8</v>
      </c>
      <c r="K546">
        <v>0</v>
      </c>
      <c r="L546" t="s">
        <v>142</v>
      </c>
    </row>
    <row r="547" spans="1:12" x14ac:dyDescent="0.3">
      <c r="A547" t="s">
        <v>67</v>
      </c>
      <c r="B547" t="s">
        <v>1465</v>
      </c>
      <c r="C547">
        <v>26</v>
      </c>
      <c r="D547" t="s">
        <v>143</v>
      </c>
      <c r="E547" t="s">
        <v>1525</v>
      </c>
      <c r="F547" t="s">
        <v>1526</v>
      </c>
      <c r="G547" t="s">
        <v>1499</v>
      </c>
      <c r="H547" t="s">
        <v>147</v>
      </c>
      <c r="I547">
        <v>181</v>
      </c>
      <c r="J547">
        <v>6</v>
      </c>
      <c r="K547">
        <v>0</v>
      </c>
      <c r="L547" t="s">
        <v>142</v>
      </c>
    </row>
    <row r="548" spans="1:12" x14ac:dyDescent="0.3">
      <c r="A548" t="s">
        <v>32</v>
      </c>
      <c r="B548" t="s">
        <v>1527</v>
      </c>
      <c r="C548">
        <v>1</v>
      </c>
      <c r="D548" t="s">
        <v>137</v>
      </c>
      <c r="E548" t="s">
        <v>1528</v>
      </c>
      <c r="F548" t="s">
        <v>1529</v>
      </c>
      <c r="G548" t="s">
        <v>1530</v>
      </c>
      <c r="H548" t="s">
        <v>147</v>
      </c>
      <c r="I548">
        <v>181</v>
      </c>
      <c r="J548">
        <v>86</v>
      </c>
      <c r="K548">
        <v>0</v>
      </c>
      <c r="L548" t="s">
        <v>142</v>
      </c>
    </row>
    <row r="549" spans="1:12" x14ac:dyDescent="0.3">
      <c r="A549" t="s">
        <v>32</v>
      </c>
      <c r="B549" t="s">
        <v>1527</v>
      </c>
      <c r="C549">
        <v>2</v>
      </c>
      <c r="D549" t="s">
        <v>143</v>
      </c>
      <c r="E549" t="s">
        <v>1531</v>
      </c>
      <c r="F549" t="s">
        <v>1532</v>
      </c>
      <c r="G549" t="s">
        <v>1533</v>
      </c>
      <c r="H549" t="s">
        <v>147</v>
      </c>
      <c r="I549">
        <v>180</v>
      </c>
      <c r="J549">
        <v>59</v>
      </c>
      <c r="K549">
        <v>1</v>
      </c>
      <c r="L549" t="s">
        <v>142</v>
      </c>
    </row>
    <row r="550" spans="1:12" x14ac:dyDescent="0.3">
      <c r="A550" t="s">
        <v>32</v>
      </c>
      <c r="B550" t="s">
        <v>1527</v>
      </c>
      <c r="C550">
        <v>3</v>
      </c>
      <c r="D550" t="s">
        <v>143</v>
      </c>
      <c r="E550" t="s">
        <v>1534</v>
      </c>
      <c r="F550" t="s">
        <v>1535</v>
      </c>
      <c r="G550" t="s">
        <v>187</v>
      </c>
      <c r="H550" t="s">
        <v>141</v>
      </c>
      <c r="I550">
        <v>179</v>
      </c>
      <c r="J550">
        <v>1</v>
      </c>
      <c r="K550">
        <v>0</v>
      </c>
      <c r="L550" t="s">
        <v>142</v>
      </c>
    </row>
    <row r="551" spans="1:12" x14ac:dyDescent="0.3">
      <c r="A551" t="s">
        <v>32</v>
      </c>
      <c r="B551" t="s">
        <v>1527</v>
      </c>
      <c r="C551">
        <v>4</v>
      </c>
      <c r="D551" t="s">
        <v>143</v>
      </c>
      <c r="E551" t="s">
        <v>1536</v>
      </c>
      <c r="F551" t="s">
        <v>1537</v>
      </c>
      <c r="G551" t="s">
        <v>1244</v>
      </c>
      <c r="H551" t="s">
        <v>1192</v>
      </c>
      <c r="I551">
        <v>190</v>
      </c>
      <c r="J551">
        <v>64</v>
      </c>
      <c r="K551">
        <v>2</v>
      </c>
      <c r="L551" t="s">
        <v>142</v>
      </c>
    </row>
    <row r="552" spans="1:12" x14ac:dyDescent="0.3">
      <c r="A552" t="s">
        <v>32</v>
      </c>
      <c r="B552" t="s">
        <v>1527</v>
      </c>
      <c r="C552">
        <v>5</v>
      </c>
      <c r="D552" t="s">
        <v>143</v>
      </c>
      <c r="E552" t="s">
        <v>1538</v>
      </c>
      <c r="F552" t="s">
        <v>1539</v>
      </c>
      <c r="G552" t="s">
        <v>1540</v>
      </c>
      <c r="H552" t="s">
        <v>141</v>
      </c>
      <c r="I552">
        <v>183</v>
      </c>
      <c r="J552">
        <v>10</v>
      </c>
      <c r="K552">
        <v>0</v>
      </c>
      <c r="L552" t="s">
        <v>142</v>
      </c>
    </row>
    <row r="553" spans="1:12" x14ac:dyDescent="0.3">
      <c r="A553" t="s">
        <v>32</v>
      </c>
      <c r="B553" t="s">
        <v>1527</v>
      </c>
      <c r="C553">
        <v>6</v>
      </c>
      <c r="D553" t="s">
        <v>158</v>
      </c>
      <c r="E553" t="s">
        <v>1541</v>
      </c>
      <c r="F553" t="s">
        <v>1542</v>
      </c>
      <c r="G553" t="s">
        <v>1543</v>
      </c>
      <c r="H553" t="s">
        <v>25</v>
      </c>
      <c r="I553">
        <v>182</v>
      </c>
      <c r="J553">
        <v>26</v>
      </c>
      <c r="K553">
        <v>0</v>
      </c>
      <c r="L553" t="s">
        <v>142</v>
      </c>
    </row>
    <row r="554" spans="1:12" x14ac:dyDescent="0.3">
      <c r="A554" t="s">
        <v>32</v>
      </c>
      <c r="B554" t="s">
        <v>1527</v>
      </c>
      <c r="C554">
        <v>7</v>
      </c>
      <c r="D554" t="s">
        <v>163</v>
      </c>
      <c r="E554" t="s">
        <v>1544</v>
      </c>
      <c r="F554" t="s">
        <v>1545</v>
      </c>
      <c r="G554" t="s">
        <v>785</v>
      </c>
      <c r="H554" t="s">
        <v>734</v>
      </c>
      <c r="I554">
        <v>178</v>
      </c>
      <c r="J554">
        <v>51</v>
      </c>
      <c r="K554">
        <v>8</v>
      </c>
      <c r="L554" t="s">
        <v>142</v>
      </c>
    </row>
    <row r="555" spans="1:12" x14ac:dyDescent="0.3">
      <c r="A555" t="s">
        <v>32</v>
      </c>
      <c r="B555" t="s">
        <v>1527</v>
      </c>
      <c r="C555">
        <v>8</v>
      </c>
      <c r="D555" t="s">
        <v>143</v>
      </c>
      <c r="E555" t="s">
        <v>1546</v>
      </c>
      <c r="F555" t="s">
        <v>1547</v>
      </c>
      <c r="G555" t="s">
        <v>1548</v>
      </c>
      <c r="H555" t="s">
        <v>147</v>
      </c>
      <c r="I555">
        <v>178</v>
      </c>
      <c r="J555">
        <v>24</v>
      </c>
      <c r="K555">
        <v>0</v>
      </c>
      <c r="L555" t="s">
        <v>142</v>
      </c>
    </row>
    <row r="556" spans="1:12" x14ac:dyDescent="0.3">
      <c r="A556" t="s">
        <v>32</v>
      </c>
      <c r="B556" t="s">
        <v>1527</v>
      </c>
      <c r="C556">
        <v>9</v>
      </c>
      <c r="D556" t="s">
        <v>163</v>
      </c>
      <c r="E556" t="s">
        <v>1549</v>
      </c>
      <c r="F556" t="s">
        <v>1550</v>
      </c>
      <c r="G556" t="s">
        <v>1551</v>
      </c>
      <c r="H556" t="s">
        <v>1552</v>
      </c>
      <c r="I556">
        <v>181</v>
      </c>
      <c r="J556">
        <v>84</v>
      </c>
      <c r="K556">
        <v>44</v>
      </c>
      <c r="L556" t="s">
        <v>142</v>
      </c>
    </row>
    <row r="557" spans="1:12" x14ac:dyDescent="0.3">
      <c r="A557" t="s">
        <v>32</v>
      </c>
      <c r="B557" t="s">
        <v>1527</v>
      </c>
      <c r="C557">
        <v>10</v>
      </c>
      <c r="D557" t="s">
        <v>158</v>
      </c>
      <c r="E557" t="s">
        <v>1553</v>
      </c>
      <c r="F557" t="s">
        <v>1554</v>
      </c>
      <c r="G557" t="s">
        <v>1152</v>
      </c>
      <c r="H557" t="s">
        <v>194</v>
      </c>
      <c r="I557">
        <v>170</v>
      </c>
      <c r="J557">
        <v>13</v>
      </c>
      <c r="K557">
        <v>0</v>
      </c>
      <c r="L557" t="s">
        <v>142</v>
      </c>
    </row>
    <row r="558" spans="1:12" x14ac:dyDescent="0.3">
      <c r="A558" t="s">
        <v>32</v>
      </c>
      <c r="B558" t="s">
        <v>1527</v>
      </c>
      <c r="C558">
        <v>11</v>
      </c>
      <c r="D558" t="s">
        <v>163</v>
      </c>
      <c r="E558" t="s">
        <v>1555</v>
      </c>
      <c r="F558" t="s">
        <v>1556</v>
      </c>
      <c r="G558" t="s">
        <v>1066</v>
      </c>
      <c r="H558" t="s">
        <v>25</v>
      </c>
      <c r="I558">
        <v>178</v>
      </c>
      <c r="J558">
        <v>35</v>
      </c>
      <c r="K558">
        <v>10</v>
      </c>
      <c r="L558" t="s">
        <v>142</v>
      </c>
    </row>
    <row r="559" spans="1:12" x14ac:dyDescent="0.3">
      <c r="A559" t="s">
        <v>32</v>
      </c>
      <c r="B559" t="s">
        <v>1527</v>
      </c>
      <c r="C559">
        <v>12</v>
      </c>
      <c r="D559" t="s">
        <v>137</v>
      </c>
      <c r="E559" t="s">
        <v>1557</v>
      </c>
      <c r="F559" t="s">
        <v>1558</v>
      </c>
      <c r="G559" t="s">
        <v>1559</v>
      </c>
      <c r="H559" t="s">
        <v>147</v>
      </c>
      <c r="I559">
        <v>190</v>
      </c>
      <c r="J559">
        <v>17</v>
      </c>
      <c r="K559">
        <v>0</v>
      </c>
      <c r="L559" t="s">
        <v>142</v>
      </c>
    </row>
    <row r="560" spans="1:12" x14ac:dyDescent="0.3">
      <c r="A560" t="s">
        <v>32</v>
      </c>
      <c r="B560" t="s">
        <v>1527</v>
      </c>
      <c r="C560">
        <v>13</v>
      </c>
      <c r="D560" t="s">
        <v>143</v>
      </c>
      <c r="E560" t="s">
        <v>1560</v>
      </c>
      <c r="F560" t="s">
        <v>1561</v>
      </c>
      <c r="G560" t="s">
        <v>1562</v>
      </c>
      <c r="H560" t="s">
        <v>25</v>
      </c>
      <c r="I560">
        <v>175</v>
      </c>
      <c r="J560">
        <v>16</v>
      </c>
      <c r="K560">
        <v>3</v>
      </c>
      <c r="L560" t="s">
        <v>142</v>
      </c>
    </row>
    <row r="561" spans="1:12" x14ac:dyDescent="0.3">
      <c r="A561" t="s">
        <v>32</v>
      </c>
      <c r="B561" t="s">
        <v>1527</v>
      </c>
      <c r="C561">
        <v>14</v>
      </c>
      <c r="D561" t="s">
        <v>143</v>
      </c>
      <c r="E561" t="s">
        <v>1563</v>
      </c>
      <c r="F561" t="s">
        <v>1564</v>
      </c>
      <c r="G561" t="s">
        <v>1562</v>
      </c>
      <c r="H561" t="s">
        <v>25</v>
      </c>
      <c r="I561">
        <v>186</v>
      </c>
      <c r="J561">
        <v>15</v>
      </c>
      <c r="K561">
        <v>0</v>
      </c>
      <c r="L561" t="s">
        <v>142</v>
      </c>
    </row>
    <row r="562" spans="1:12" x14ac:dyDescent="0.3">
      <c r="A562" t="s">
        <v>32</v>
      </c>
      <c r="B562" t="s">
        <v>1527</v>
      </c>
      <c r="C562">
        <v>15</v>
      </c>
      <c r="D562" t="s">
        <v>163</v>
      </c>
      <c r="E562" t="s">
        <v>1565</v>
      </c>
      <c r="F562" t="s">
        <v>1566</v>
      </c>
      <c r="G562" t="s">
        <v>1567</v>
      </c>
      <c r="H562" t="s">
        <v>162</v>
      </c>
      <c r="I562">
        <v>178</v>
      </c>
      <c r="J562">
        <v>18</v>
      </c>
      <c r="K562">
        <v>3</v>
      </c>
      <c r="L562" t="s">
        <v>142</v>
      </c>
    </row>
    <row r="563" spans="1:12" x14ac:dyDescent="0.3">
      <c r="A563" t="s">
        <v>32</v>
      </c>
      <c r="B563" t="s">
        <v>1527</v>
      </c>
      <c r="C563">
        <v>16</v>
      </c>
      <c r="D563" t="s">
        <v>163</v>
      </c>
      <c r="E563" t="s">
        <v>1568</v>
      </c>
      <c r="F563" t="s">
        <v>1569</v>
      </c>
      <c r="G563" t="s">
        <v>1570</v>
      </c>
      <c r="H563" t="s">
        <v>184</v>
      </c>
      <c r="I563">
        <v>182</v>
      </c>
      <c r="J563">
        <v>5</v>
      </c>
      <c r="K563">
        <v>1</v>
      </c>
      <c r="L563" t="s">
        <v>142</v>
      </c>
    </row>
    <row r="564" spans="1:12" x14ac:dyDescent="0.3">
      <c r="A564" t="s">
        <v>32</v>
      </c>
      <c r="B564" t="s">
        <v>1527</v>
      </c>
      <c r="C564">
        <v>17</v>
      </c>
      <c r="D564" t="s">
        <v>158</v>
      </c>
      <c r="E564" t="s">
        <v>1571</v>
      </c>
      <c r="F564" t="s">
        <v>1572</v>
      </c>
      <c r="G564" t="s">
        <v>1573</v>
      </c>
      <c r="H564" t="s">
        <v>25</v>
      </c>
      <c r="I564">
        <v>182</v>
      </c>
      <c r="J564">
        <v>34</v>
      </c>
      <c r="K564">
        <v>6</v>
      </c>
      <c r="L564" t="s">
        <v>142</v>
      </c>
    </row>
    <row r="565" spans="1:12" x14ac:dyDescent="0.3">
      <c r="A565" t="s">
        <v>32</v>
      </c>
      <c r="B565" t="s">
        <v>1527</v>
      </c>
      <c r="C565">
        <v>18</v>
      </c>
      <c r="D565" t="s">
        <v>163</v>
      </c>
      <c r="E565" t="s">
        <v>1574</v>
      </c>
      <c r="F565" t="s">
        <v>1575</v>
      </c>
      <c r="G565" t="s">
        <v>910</v>
      </c>
      <c r="H565" t="s">
        <v>194</v>
      </c>
      <c r="I565">
        <v>184</v>
      </c>
      <c r="J565">
        <v>7</v>
      </c>
      <c r="K565">
        <v>3</v>
      </c>
      <c r="L565" t="s">
        <v>142</v>
      </c>
    </row>
    <row r="566" spans="1:12" x14ac:dyDescent="0.3">
      <c r="A566" t="s">
        <v>32</v>
      </c>
      <c r="B566" t="s">
        <v>1527</v>
      </c>
      <c r="C566">
        <v>19</v>
      </c>
      <c r="D566" t="s">
        <v>163</v>
      </c>
      <c r="E566" t="s">
        <v>1576</v>
      </c>
      <c r="F566" t="s">
        <v>1577</v>
      </c>
      <c r="G566" t="s">
        <v>1578</v>
      </c>
      <c r="H566" t="s">
        <v>281</v>
      </c>
      <c r="I566">
        <v>186</v>
      </c>
      <c r="J566">
        <v>5</v>
      </c>
      <c r="K566">
        <v>0</v>
      </c>
      <c r="L566" t="s">
        <v>142</v>
      </c>
    </row>
    <row r="567" spans="1:12" x14ac:dyDescent="0.3">
      <c r="A567" t="s">
        <v>32</v>
      </c>
      <c r="B567" t="s">
        <v>1527</v>
      </c>
      <c r="C567">
        <v>20</v>
      </c>
      <c r="D567" t="s">
        <v>163</v>
      </c>
      <c r="E567" t="s">
        <v>1579</v>
      </c>
      <c r="F567" t="s">
        <v>863</v>
      </c>
      <c r="G567" t="s">
        <v>948</v>
      </c>
      <c r="H567" t="s">
        <v>523</v>
      </c>
      <c r="I567">
        <v>194</v>
      </c>
      <c r="J567">
        <v>56</v>
      </c>
      <c r="K567">
        <v>34</v>
      </c>
      <c r="L567" t="s">
        <v>142</v>
      </c>
    </row>
    <row r="568" spans="1:12" x14ac:dyDescent="0.3">
      <c r="A568" t="s">
        <v>32</v>
      </c>
      <c r="B568" t="s">
        <v>1527</v>
      </c>
      <c r="C568">
        <v>21</v>
      </c>
      <c r="D568" t="s">
        <v>163</v>
      </c>
      <c r="E568" t="s">
        <v>1580</v>
      </c>
      <c r="F568" t="s">
        <v>1581</v>
      </c>
      <c r="G568" t="s">
        <v>1499</v>
      </c>
      <c r="H568" t="s">
        <v>147</v>
      </c>
      <c r="I568">
        <v>178</v>
      </c>
      <c r="J568">
        <v>10</v>
      </c>
      <c r="K568">
        <v>0</v>
      </c>
      <c r="L568" t="s">
        <v>142</v>
      </c>
    </row>
    <row r="569" spans="1:12" x14ac:dyDescent="0.3">
      <c r="A569" t="s">
        <v>32</v>
      </c>
      <c r="B569" t="s">
        <v>1527</v>
      </c>
      <c r="C569">
        <v>22</v>
      </c>
      <c r="D569" t="s">
        <v>143</v>
      </c>
      <c r="E569" t="s">
        <v>1582</v>
      </c>
      <c r="F569" t="s">
        <v>1583</v>
      </c>
      <c r="G569" t="s">
        <v>1584</v>
      </c>
      <c r="H569" t="s">
        <v>223</v>
      </c>
      <c r="I569">
        <v>184</v>
      </c>
      <c r="J569">
        <v>19</v>
      </c>
      <c r="K569">
        <v>1</v>
      </c>
      <c r="L569" t="s">
        <v>142</v>
      </c>
    </row>
    <row r="570" spans="1:12" x14ac:dyDescent="0.3">
      <c r="A570" t="s">
        <v>32</v>
      </c>
      <c r="B570" t="s">
        <v>1527</v>
      </c>
      <c r="C570">
        <v>23</v>
      </c>
      <c r="D570" t="s">
        <v>137</v>
      </c>
      <c r="E570" t="s">
        <v>1585</v>
      </c>
      <c r="F570" t="s">
        <v>1586</v>
      </c>
      <c r="G570" t="s">
        <v>1587</v>
      </c>
      <c r="H570" t="s">
        <v>177</v>
      </c>
      <c r="I570">
        <v>187</v>
      </c>
      <c r="J570">
        <v>7</v>
      </c>
      <c r="K570">
        <v>0</v>
      </c>
      <c r="L570" t="s">
        <v>142</v>
      </c>
    </row>
    <row r="571" spans="1:12" x14ac:dyDescent="0.3">
      <c r="A571" t="s">
        <v>32</v>
      </c>
      <c r="B571" t="s">
        <v>1527</v>
      </c>
      <c r="C571">
        <v>24</v>
      </c>
      <c r="D571" t="s">
        <v>143</v>
      </c>
      <c r="E571" t="s">
        <v>1588</v>
      </c>
      <c r="F571" t="s">
        <v>1589</v>
      </c>
      <c r="G571" t="s">
        <v>1590</v>
      </c>
      <c r="H571" t="s">
        <v>223</v>
      </c>
      <c r="I571">
        <v>180</v>
      </c>
      <c r="J571">
        <v>8</v>
      </c>
      <c r="K571">
        <v>0</v>
      </c>
      <c r="L571" t="s">
        <v>142</v>
      </c>
    </row>
    <row r="572" spans="1:12" x14ac:dyDescent="0.3">
      <c r="A572" t="s">
        <v>32</v>
      </c>
      <c r="B572" t="s">
        <v>1527</v>
      </c>
      <c r="C572">
        <v>25</v>
      </c>
      <c r="D572" t="s">
        <v>158</v>
      </c>
      <c r="E572" t="s">
        <v>1591</v>
      </c>
      <c r="F572" t="s">
        <v>1592</v>
      </c>
      <c r="G572" t="s">
        <v>1593</v>
      </c>
      <c r="H572" t="s">
        <v>1594</v>
      </c>
      <c r="I572">
        <v>178</v>
      </c>
      <c r="J572">
        <v>4</v>
      </c>
      <c r="K572">
        <v>0</v>
      </c>
      <c r="L572" t="s">
        <v>142</v>
      </c>
    </row>
    <row r="573" spans="1:12" x14ac:dyDescent="0.3">
      <c r="A573" t="s">
        <v>32</v>
      </c>
      <c r="B573" t="s">
        <v>1527</v>
      </c>
      <c r="C573">
        <v>26</v>
      </c>
      <c r="D573" t="s">
        <v>158</v>
      </c>
      <c r="E573" t="s">
        <v>1595</v>
      </c>
      <c r="F573" t="s">
        <v>1596</v>
      </c>
      <c r="G573" t="s">
        <v>1597</v>
      </c>
      <c r="H573" t="s">
        <v>1527</v>
      </c>
      <c r="I573">
        <v>177</v>
      </c>
      <c r="J573">
        <v>1</v>
      </c>
      <c r="K573">
        <v>0</v>
      </c>
      <c r="L573" t="s">
        <v>142</v>
      </c>
    </row>
    <row r="574" spans="1:12" x14ac:dyDescent="0.3">
      <c r="A574" t="s">
        <v>52</v>
      </c>
      <c r="B574" t="s">
        <v>1552</v>
      </c>
      <c r="C574">
        <v>1</v>
      </c>
      <c r="D574" t="s">
        <v>137</v>
      </c>
      <c r="E574" t="s">
        <v>1598</v>
      </c>
      <c r="F574" t="s">
        <v>1599</v>
      </c>
      <c r="G574" t="s">
        <v>1600</v>
      </c>
      <c r="H574" t="s">
        <v>1552</v>
      </c>
      <c r="I574">
        <v>195</v>
      </c>
      <c r="J574">
        <v>90</v>
      </c>
      <c r="K574">
        <v>0</v>
      </c>
      <c r="L574" t="s">
        <v>142</v>
      </c>
    </row>
    <row r="575" spans="1:12" x14ac:dyDescent="0.3">
      <c r="A575" t="s">
        <v>52</v>
      </c>
      <c r="B575" t="s">
        <v>1552</v>
      </c>
      <c r="C575">
        <v>2</v>
      </c>
      <c r="D575" t="s">
        <v>143</v>
      </c>
      <c r="E575" t="s">
        <v>1601</v>
      </c>
      <c r="F575" t="s">
        <v>1602</v>
      </c>
      <c r="G575" t="s">
        <v>1551</v>
      </c>
      <c r="H575" t="s">
        <v>1552</v>
      </c>
      <c r="I575">
        <v>176</v>
      </c>
      <c r="J575">
        <v>20</v>
      </c>
      <c r="K575">
        <v>1</v>
      </c>
      <c r="L575" t="s">
        <v>142</v>
      </c>
    </row>
    <row r="576" spans="1:12" x14ac:dyDescent="0.3">
      <c r="A576" t="s">
        <v>52</v>
      </c>
      <c r="B576" t="s">
        <v>1552</v>
      </c>
      <c r="C576">
        <v>3</v>
      </c>
      <c r="D576" t="s">
        <v>143</v>
      </c>
      <c r="E576" t="s">
        <v>1603</v>
      </c>
      <c r="F576" t="s">
        <v>1604</v>
      </c>
      <c r="G576" t="s">
        <v>1605</v>
      </c>
      <c r="H576" t="s">
        <v>1552</v>
      </c>
      <c r="I576">
        <v>178</v>
      </c>
      <c r="J576">
        <v>148</v>
      </c>
      <c r="K576">
        <v>7</v>
      </c>
      <c r="L576" t="s">
        <v>142</v>
      </c>
    </row>
    <row r="577" spans="1:12" x14ac:dyDescent="0.3">
      <c r="A577" t="s">
        <v>52</v>
      </c>
      <c r="B577" t="s">
        <v>1552</v>
      </c>
      <c r="C577">
        <v>4</v>
      </c>
      <c r="D577" t="s">
        <v>143</v>
      </c>
      <c r="E577" t="s">
        <v>1606</v>
      </c>
      <c r="F577" t="s">
        <v>1607</v>
      </c>
      <c r="G577" t="s">
        <v>1600</v>
      </c>
      <c r="H577" t="s">
        <v>1552</v>
      </c>
      <c r="I577">
        <v>183</v>
      </c>
      <c r="J577">
        <v>61</v>
      </c>
      <c r="K577">
        <v>2</v>
      </c>
      <c r="L577" t="s">
        <v>142</v>
      </c>
    </row>
    <row r="578" spans="1:12" x14ac:dyDescent="0.3">
      <c r="A578" t="s">
        <v>52</v>
      </c>
      <c r="B578" t="s">
        <v>1552</v>
      </c>
      <c r="C578">
        <v>5</v>
      </c>
      <c r="D578" t="s">
        <v>143</v>
      </c>
      <c r="E578" t="s">
        <v>1608</v>
      </c>
      <c r="F578" t="s">
        <v>1609</v>
      </c>
      <c r="G578" t="s">
        <v>1610</v>
      </c>
      <c r="H578" t="s">
        <v>1552</v>
      </c>
      <c r="I578">
        <v>175</v>
      </c>
      <c r="J578">
        <v>80</v>
      </c>
      <c r="K578">
        <v>1</v>
      </c>
      <c r="L578" t="s">
        <v>142</v>
      </c>
    </row>
    <row r="579" spans="1:12" x14ac:dyDescent="0.3">
      <c r="A579" t="s">
        <v>52</v>
      </c>
      <c r="B579" t="s">
        <v>1552</v>
      </c>
      <c r="C579">
        <v>6</v>
      </c>
      <c r="D579" t="s">
        <v>158</v>
      </c>
      <c r="E579" t="s">
        <v>1611</v>
      </c>
      <c r="F579" t="s">
        <v>1612</v>
      </c>
      <c r="G579" t="s">
        <v>1613</v>
      </c>
      <c r="H579" t="s">
        <v>663</v>
      </c>
      <c r="I579">
        <v>189</v>
      </c>
      <c r="J579">
        <v>87</v>
      </c>
      <c r="K579">
        <v>2</v>
      </c>
      <c r="L579" t="s">
        <v>142</v>
      </c>
    </row>
    <row r="580" spans="1:12" x14ac:dyDescent="0.3">
      <c r="A580" t="s">
        <v>52</v>
      </c>
      <c r="B580" t="s">
        <v>1552</v>
      </c>
      <c r="C580">
        <v>7</v>
      </c>
      <c r="D580" t="s">
        <v>158</v>
      </c>
      <c r="E580" t="s">
        <v>1614</v>
      </c>
      <c r="F580" t="s">
        <v>1615</v>
      </c>
      <c r="G580" t="s">
        <v>745</v>
      </c>
      <c r="H580" t="s">
        <v>223</v>
      </c>
      <c r="I580">
        <v>180</v>
      </c>
      <c r="J580">
        <v>101</v>
      </c>
      <c r="K580">
        <v>17</v>
      </c>
      <c r="L580" t="s">
        <v>142</v>
      </c>
    </row>
    <row r="581" spans="1:12" x14ac:dyDescent="0.3">
      <c r="A581" t="s">
        <v>52</v>
      </c>
      <c r="B581" t="s">
        <v>1552</v>
      </c>
      <c r="C581">
        <v>8</v>
      </c>
      <c r="D581" t="s">
        <v>158</v>
      </c>
      <c r="E581" t="s">
        <v>1616</v>
      </c>
      <c r="F581" t="s">
        <v>1381</v>
      </c>
      <c r="G581" t="s">
        <v>1617</v>
      </c>
      <c r="H581" t="s">
        <v>629</v>
      </c>
      <c r="I581">
        <v>187</v>
      </c>
      <c r="J581">
        <v>40</v>
      </c>
      <c r="K581">
        <v>14</v>
      </c>
      <c r="L581" t="s">
        <v>142</v>
      </c>
    </row>
    <row r="582" spans="1:12" x14ac:dyDescent="0.3">
      <c r="A582" t="s">
        <v>52</v>
      </c>
      <c r="B582" t="s">
        <v>1552</v>
      </c>
      <c r="C582">
        <v>9</v>
      </c>
      <c r="D582" t="s">
        <v>163</v>
      </c>
      <c r="E582" t="s">
        <v>1618</v>
      </c>
      <c r="F582" t="s">
        <v>1619</v>
      </c>
      <c r="G582" t="s">
        <v>1620</v>
      </c>
      <c r="H582" t="s">
        <v>886</v>
      </c>
      <c r="I582">
        <v>187</v>
      </c>
      <c r="J582">
        <v>109</v>
      </c>
      <c r="K582">
        <v>59</v>
      </c>
      <c r="L582" t="s">
        <v>142</v>
      </c>
    </row>
    <row r="583" spans="1:12" x14ac:dyDescent="0.3">
      <c r="A583" t="s">
        <v>52</v>
      </c>
      <c r="B583" t="s">
        <v>1552</v>
      </c>
      <c r="C583">
        <v>10</v>
      </c>
      <c r="D583" t="s">
        <v>163</v>
      </c>
      <c r="E583" t="s">
        <v>1621</v>
      </c>
      <c r="F583" t="s">
        <v>1622</v>
      </c>
      <c r="G583" t="s">
        <v>1623</v>
      </c>
      <c r="H583" t="s">
        <v>663</v>
      </c>
      <c r="I583">
        <v>166</v>
      </c>
      <c r="J583">
        <v>31</v>
      </c>
      <c r="K583">
        <v>10</v>
      </c>
      <c r="L583" t="s">
        <v>142</v>
      </c>
    </row>
    <row r="584" spans="1:12" x14ac:dyDescent="0.3">
      <c r="A584" t="s">
        <v>52</v>
      </c>
      <c r="B584" t="s">
        <v>1552</v>
      </c>
      <c r="C584">
        <v>11</v>
      </c>
      <c r="D584" t="s">
        <v>163</v>
      </c>
      <c r="E584" t="s">
        <v>1624</v>
      </c>
      <c r="F584" t="s">
        <v>1625</v>
      </c>
      <c r="G584" t="s">
        <v>1610</v>
      </c>
      <c r="H584" t="s">
        <v>1552</v>
      </c>
      <c r="I584">
        <v>181</v>
      </c>
      <c r="J584">
        <v>15</v>
      </c>
      <c r="K584">
        <v>1</v>
      </c>
      <c r="L584" t="s">
        <v>142</v>
      </c>
    </row>
    <row r="585" spans="1:12" x14ac:dyDescent="0.3">
      <c r="A585" t="s">
        <v>52</v>
      </c>
      <c r="B585" t="s">
        <v>1552</v>
      </c>
      <c r="C585">
        <v>12</v>
      </c>
      <c r="D585" t="s">
        <v>137</v>
      </c>
      <c r="E585" t="s">
        <v>1626</v>
      </c>
      <c r="F585" t="s">
        <v>1627</v>
      </c>
      <c r="G585" t="s">
        <v>1610</v>
      </c>
      <c r="H585" t="s">
        <v>1552</v>
      </c>
      <c r="I585">
        <v>193</v>
      </c>
      <c r="J585">
        <v>15</v>
      </c>
      <c r="K585">
        <v>0</v>
      </c>
      <c r="L585" t="s">
        <v>142</v>
      </c>
    </row>
    <row r="586" spans="1:12" x14ac:dyDescent="0.3">
      <c r="A586" t="s">
        <v>52</v>
      </c>
      <c r="B586" t="s">
        <v>1552</v>
      </c>
      <c r="C586">
        <v>13</v>
      </c>
      <c r="D586" t="s">
        <v>143</v>
      </c>
      <c r="E586" t="s">
        <v>1628</v>
      </c>
      <c r="F586" t="s">
        <v>1629</v>
      </c>
      <c r="G586" t="s">
        <v>1610</v>
      </c>
      <c r="H586" t="s">
        <v>1552</v>
      </c>
      <c r="I586">
        <v>188</v>
      </c>
      <c r="J586">
        <v>67</v>
      </c>
      <c r="K586">
        <v>6</v>
      </c>
      <c r="L586" t="s">
        <v>142</v>
      </c>
    </row>
    <row r="587" spans="1:12" x14ac:dyDescent="0.3">
      <c r="A587" t="s">
        <v>52</v>
      </c>
      <c r="B587" t="s">
        <v>1552</v>
      </c>
      <c r="C587">
        <v>14</v>
      </c>
      <c r="D587" t="s">
        <v>158</v>
      </c>
      <c r="E587" t="s">
        <v>1630</v>
      </c>
      <c r="F587" t="s">
        <v>1631</v>
      </c>
      <c r="G587" t="s">
        <v>1632</v>
      </c>
      <c r="H587" t="s">
        <v>663</v>
      </c>
      <c r="I587">
        <v>176</v>
      </c>
      <c r="J587">
        <v>71</v>
      </c>
      <c r="K587">
        <v>3</v>
      </c>
      <c r="L587" t="s">
        <v>142</v>
      </c>
    </row>
    <row r="588" spans="1:12" x14ac:dyDescent="0.3">
      <c r="A588" t="s">
        <v>52</v>
      </c>
      <c r="B588" t="s">
        <v>1552</v>
      </c>
      <c r="C588">
        <v>15</v>
      </c>
      <c r="D588" t="s">
        <v>158</v>
      </c>
      <c r="E588" t="s">
        <v>1633</v>
      </c>
      <c r="F588" t="s">
        <v>1634</v>
      </c>
      <c r="G588" t="s">
        <v>1551</v>
      </c>
      <c r="H588" t="s">
        <v>1552</v>
      </c>
      <c r="I588">
        <v>192</v>
      </c>
      <c r="J588">
        <v>41</v>
      </c>
      <c r="K588">
        <v>3</v>
      </c>
      <c r="L588" t="s">
        <v>142</v>
      </c>
    </row>
    <row r="589" spans="1:12" x14ac:dyDescent="0.3">
      <c r="A589" t="s">
        <v>52</v>
      </c>
      <c r="B589" t="s">
        <v>1552</v>
      </c>
      <c r="C589">
        <v>16</v>
      </c>
      <c r="D589" t="s">
        <v>158</v>
      </c>
      <c r="E589" t="s">
        <v>1635</v>
      </c>
      <c r="F589" t="s">
        <v>1636</v>
      </c>
      <c r="G589" t="s">
        <v>1600</v>
      </c>
      <c r="H589" t="s">
        <v>1552</v>
      </c>
      <c r="I589">
        <v>185</v>
      </c>
      <c r="J589">
        <v>53</v>
      </c>
      <c r="K589">
        <v>7</v>
      </c>
      <c r="L589" t="s">
        <v>142</v>
      </c>
    </row>
    <row r="590" spans="1:12" x14ac:dyDescent="0.3">
      <c r="A590" t="s">
        <v>52</v>
      </c>
      <c r="B590" t="s">
        <v>1552</v>
      </c>
      <c r="C590">
        <v>17</v>
      </c>
      <c r="D590" t="s">
        <v>143</v>
      </c>
      <c r="E590" t="s">
        <v>1637</v>
      </c>
      <c r="F590" t="s">
        <v>1638</v>
      </c>
      <c r="G590" t="s">
        <v>1605</v>
      </c>
      <c r="H590" t="s">
        <v>1552</v>
      </c>
      <c r="I590">
        <v>181</v>
      </c>
      <c r="J590">
        <v>15</v>
      </c>
      <c r="K590">
        <v>1</v>
      </c>
      <c r="L590" t="s">
        <v>142</v>
      </c>
    </row>
    <row r="591" spans="1:12" x14ac:dyDescent="0.3">
      <c r="A591" t="s">
        <v>52</v>
      </c>
      <c r="B591" t="s">
        <v>1552</v>
      </c>
      <c r="C591">
        <v>18</v>
      </c>
      <c r="D591" t="s">
        <v>163</v>
      </c>
      <c r="E591" t="s">
        <v>1639</v>
      </c>
      <c r="F591" t="s">
        <v>1640</v>
      </c>
      <c r="G591" t="s">
        <v>1600</v>
      </c>
      <c r="H591" t="s">
        <v>1552</v>
      </c>
      <c r="I591">
        <v>178</v>
      </c>
      <c r="J591">
        <v>20</v>
      </c>
      <c r="K591">
        <v>5</v>
      </c>
      <c r="L591" t="s">
        <v>142</v>
      </c>
    </row>
    <row r="592" spans="1:12" x14ac:dyDescent="0.3">
      <c r="A592" t="s">
        <v>52</v>
      </c>
      <c r="B592" t="s">
        <v>1552</v>
      </c>
      <c r="C592">
        <v>19</v>
      </c>
      <c r="D592" t="s">
        <v>143</v>
      </c>
      <c r="E592" t="s">
        <v>1641</v>
      </c>
      <c r="F592" t="s">
        <v>1642</v>
      </c>
      <c r="G592" t="s">
        <v>1643</v>
      </c>
      <c r="H592" t="s">
        <v>1552</v>
      </c>
      <c r="I592">
        <v>182</v>
      </c>
      <c r="J592">
        <v>21</v>
      </c>
      <c r="K592">
        <v>0</v>
      </c>
      <c r="L592" t="s">
        <v>142</v>
      </c>
    </row>
    <row r="593" spans="1:12" x14ac:dyDescent="0.3">
      <c r="A593" t="s">
        <v>52</v>
      </c>
      <c r="B593" t="s">
        <v>1552</v>
      </c>
      <c r="C593">
        <v>20</v>
      </c>
      <c r="D593" t="s">
        <v>163</v>
      </c>
      <c r="E593" t="s">
        <v>1644</v>
      </c>
      <c r="F593" t="s">
        <v>1645</v>
      </c>
      <c r="G593" t="s">
        <v>1632</v>
      </c>
      <c r="H593" t="s">
        <v>663</v>
      </c>
      <c r="I593">
        <v>189</v>
      </c>
      <c r="J593">
        <v>24</v>
      </c>
      <c r="K593">
        <v>2</v>
      </c>
      <c r="L593" t="s">
        <v>142</v>
      </c>
    </row>
    <row r="594" spans="1:12" x14ac:dyDescent="0.3">
      <c r="A594" t="s">
        <v>52</v>
      </c>
      <c r="B594" t="s">
        <v>1552</v>
      </c>
      <c r="C594">
        <v>21</v>
      </c>
      <c r="D594" t="s">
        <v>158</v>
      </c>
      <c r="E594" t="s">
        <v>1646</v>
      </c>
      <c r="F594" t="s">
        <v>1647</v>
      </c>
      <c r="G594" t="s">
        <v>1648</v>
      </c>
      <c r="H594" t="s">
        <v>663</v>
      </c>
      <c r="I594">
        <v>190</v>
      </c>
      <c r="J594">
        <v>17</v>
      </c>
      <c r="K594">
        <v>0</v>
      </c>
      <c r="L594" t="s">
        <v>142</v>
      </c>
    </row>
    <row r="595" spans="1:12" x14ac:dyDescent="0.3">
      <c r="A595" t="s">
        <v>52</v>
      </c>
      <c r="B595" t="s">
        <v>1552</v>
      </c>
      <c r="C595">
        <v>22</v>
      </c>
      <c r="D595" t="s">
        <v>137</v>
      </c>
      <c r="E595" t="s">
        <v>1649</v>
      </c>
      <c r="F595" t="s">
        <v>1650</v>
      </c>
      <c r="G595" t="s">
        <v>1605</v>
      </c>
      <c r="H595" t="s">
        <v>1552</v>
      </c>
      <c r="I595">
        <v>189</v>
      </c>
      <c r="J595">
        <v>14</v>
      </c>
      <c r="K595">
        <v>0</v>
      </c>
      <c r="L595" t="s">
        <v>142</v>
      </c>
    </row>
    <row r="596" spans="1:12" x14ac:dyDescent="0.3">
      <c r="A596" t="s">
        <v>52</v>
      </c>
      <c r="B596" t="s">
        <v>1552</v>
      </c>
      <c r="C596">
        <v>23</v>
      </c>
      <c r="D596" t="s">
        <v>143</v>
      </c>
      <c r="E596" t="s">
        <v>1651</v>
      </c>
      <c r="F596" t="s">
        <v>1652</v>
      </c>
      <c r="G596" t="s">
        <v>1643</v>
      </c>
      <c r="H596" t="s">
        <v>1552</v>
      </c>
      <c r="I596">
        <v>184</v>
      </c>
      <c r="J596">
        <v>77</v>
      </c>
      <c r="K596">
        <v>10</v>
      </c>
      <c r="L596" t="s">
        <v>142</v>
      </c>
    </row>
    <row r="597" spans="1:12" x14ac:dyDescent="0.3">
      <c r="A597" t="s">
        <v>52</v>
      </c>
      <c r="B597" t="s">
        <v>1552</v>
      </c>
      <c r="C597">
        <v>24</v>
      </c>
      <c r="D597" t="s">
        <v>163</v>
      </c>
      <c r="E597" t="s">
        <v>1653</v>
      </c>
      <c r="F597" t="s">
        <v>1654</v>
      </c>
      <c r="G597" t="s">
        <v>931</v>
      </c>
      <c r="H597" t="s">
        <v>223</v>
      </c>
      <c r="I597">
        <v>182</v>
      </c>
      <c r="J597">
        <v>0</v>
      </c>
      <c r="K597">
        <v>0</v>
      </c>
      <c r="L597" t="s">
        <v>142</v>
      </c>
    </row>
    <row r="598" spans="1:12" x14ac:dyDescent="0.3">
      <c r="A598" t="s">
        <v>52</v>
      </c>
      <c r="B598" t="s">
        <v>1552</v>
      </c>
      <c r="C598">
        <v>25</v>
      </c>
      <c r="D598" t="s">
        <v>143</v>
      </c>
      <c r="E598" t="s">
        <v>1655</v>
      </c>
      <c r="F598" t="s">
        <v>1656</v>
      </c>
      <c r="G598" t="s">
        <v>1657</v>
      </c>
      <c r="H598" t="s">
        <v>1552</v>
      </c>
      <c r="I598">
        <v>182</v>
      </c>
      <c r="J598">
        <v>0</v>
      </c>
      <c r="K598">
        <v>0</v>
      </c>
      <c r="L598" t="s">
        <v>142</v>
      </c>
    </row>
    <row r="599" spans="1:12" x14ac:dyDescent="0.3">
      <c r="A599" t="s">
        <v>52</v>
      </c>
      <c r="B599" t="s">
        <v>1552</v>
      </c>
      <c r="C599">
        <v>26</v>
      </c>
      <c r="D599" t="s">
        <v>158</v>
      </c>
      <c r="E599" t="s">
        <v>1658</v>
      </c>
      <c r="F599" t="s">
        <v>1659</v>
      </c>
      <c r="G599" t="s">
        <v>1551</v>
      </c>
      <c r="H599" t="s">
        <v>1552</v>
      </c>
      <c r="I599">
        <v>187</v>
      </c>
      <c r="J599">
        <v>4</v>
      </c>
      <c r="K599">
        <v>0</v>
      </c>
      <c r="L599" t="s">
        <v>142</v>
      </c>
    </row>
    <row r="600" spans="1:12" x14ac:dyDescent="0.3">
      <c r="A600" t="s">
        <v>56</v>
      </c>
      <c r="B600" t="s">
        <v>1660</v>
      </c>
      <c r="C600">
        <v>1</v>
      </c>
      <c r="D600" t="s">
        <v>137</v>
      </c>
      <c r="E600" t="s">
        <v>1661</v>
      </c>
      <c r="F600" t="s">
        <v>1662</v>
      </c>
      <c r="G600" t="s">
        <v>1663</v>
      </c>
      <c r="H600" t="s">
        <v>1660</v>
      </c>
      <c r="I600">
        <v>192</v>
      </c>
      <c r="J600">
        <v>21</v>
      </c>
      <c r="K600">
        <v>0</v>
      </c>
      <c r="L600" t="s">
        <v>142</v>
      </c>
    </row>
    <row r="601" spans="1:12" x14ac:dyDescent="0.3">
      <c r="A601" t="s">
        <v>56</v>
      </c>
      <c r="B601" t="s">
        <v>1660</v>
      </c>
      <c r="C601">
        <v>2</v>
      </c>
      <c r="D601" t="s">
        <v>143</v>
      </c>
      <c r="E601" t="s">
        <v>1664</v>
      </c>
      <c r="F601" t="s">
        <v>1665</v>
      </c>
      <c r="G601" t="s">
        <v>1666</v>
      </c>
      <c r="H601" t="s">
        <v>1667</v>
      </c>
      <c r="I601">
        <v>193</v>
      </c>
      <c r="J601">
        <v>58</v>
      </c>
      <c r="K601">
        <v>1</v>
      </c>
      <c r="L601" t="s">
        <v>142</v>
      </c>
    </row>
    <row r="602" spans="1:12" x14ac:dyDescent="0.3">
      <c r="A602" t="s">
        <v>56</v>
      </c>
      <c r="B602" t="s">
        <v>1660</v>
      </c>
      <c r="C602">
        <v>3</v>
      </c>
      <c r="D602" t="s">
        <v>143</v>
      </c>
      <c r="E602" t="s">
        <v>1668</v>
      </c>
      <c r="F602" t="s">
        <v>1669</v>
      </c>
      <c r="G602" t="s">
        <v>1670</v>
      </c>
      <c r="H602" t="s">
        <v>540</v>
      </c>
      <c r="I602">
        <v>182</v>
      </c>
      <c r="J602">
        <v>29</v>
      </c>
      <c r="K602">
        <v>1</v>
      </c>
      <c r="L602" t="s">
        <v>142</v>
      </c>
    </row>
    <row r="603" spans="1:12" x14ac:dyDescent="0.3">
      <c r="A603" t="s">
        <v>56</v>
      </c>
      <c r="B603" t="s">
        <v>1660</v>
      </c>
      <c r="C603">
        <v>4</v>
      </c>
      <c r="D603" t="s">
        <v>143</v>
      </c>
      <c r="E603" t="s">
        <v>1671</v>
      </c>
      <c r="F603" t="s">
        <v>1672</v>
      </c>
      <c r="G603" t="s">
        <v>1673</v>
      </c>
      <c r="H603" t="s">
        <v>1674</v>
      </c>
      <c r="I603">
        <v>187</v>
      </c>
      <c r="J603">
        <v>30</v>
      </c>
      <c r="K603">
        <v>1</v>
      </c>
      <c r="L603" t="s">
        <v>142</v>
      </c>
    </row>
    <row r="604" spans="1:12" x14ac:dyDescent="0.3">
      <c r="A604" t="s">
        <v>56</v>
      </c>
      <c r="B604" t="s">
        <v>1660</v>
      </c>
      <c r="C604">
        <v>5</v>
      </c>
      <c r="D604" t="s">
        <v>143</v>
      </c>
      <c r="E604" t="s">
        <v>1675</v>
      </c>
      <c r="F604" t="s">
        <v>575</v>
      </c>
      <c r="G604" t="s">
        <v>1676</v>
      </c>
      <c r="H604" t="s">
        <v>1660</v>
      </c>
      <c r="I604">
        <v>184</v>
      </c>
      <c r="J604">
        <v>17</v>
      </c>
      <c r="K604">
        <v>1</v>
      </c>
      <c r="L604" t="s">
        <v>142</v>
      </c>
    </row>
    <row r="605" spans="1:12" x14ac:dyDescent="0.3">
      <c r="A605" t="s">
        <v>56</v>
      </c>
      <c r="B605" t="s">
        <v>1660</v>
      </c>
      <c r="C605">
        <v>6</v>
      </c>
      <c r="D605" t="s">
        <v>143</v>
      </c>
      <c r="E605" t="s">
        <v>1677</v>
      </c>
      <c r="F605" t="s">
        <v>1678</v>
      </c>
      <c r="G605" t="s">
        <v>1679</v>
      </c>
      <c r="H605" t="s">
        <v>1660</v>
      </c>
      <c r="I605">
        <v>184</v>
      </c>
      <c r="J605">
        <v>35</v>
      </c>
      <c r="K605">
        <v>1</v>
      </c>
      <c r="L605" t="s">
        <v>142</v>
      </c>
    </row>
    <row r="606" spans="1:12" x14ac:dyDescent="0.3">
      <c r="A606" t="s">
        <v>56</v>
      </c>
      <c r="B606" t="s">
        <v>1660</v>
      </c>
      <c r="C606">
        <v>7</v>
      </c>
      <c r="D606" t="s">
        <v>158</v>
      </c>
      <c r="E606" t="s">
        <v>1680</v>
      </c>
      <c r="F606" t="s">
        <v>1681</v>
      </c>
      <c r="G606" t="s">
        <v>1682</v>
      </c>
      <c r="H606" t="s">
        <v>308</v>
      </c>
      <c r="I606">
        <v>172</v>
      </c>
      <c r="J606">
        <v>28</v>
      </c>
      <c r="K606">
        <v>2</v>
      </c>
      <c r="L606" t="s">
        <v>142</v>
      </c>
    </row>
    <row r="607" spans="1:12" x14ac:dyDescent="0.3">
      <c r="A607" t="s">
        <v>56</v>
      </c>
      <c r="B607" t="s">
        <v>1660</v>
      </c>
      <c r="C607">
        <v>8</v>
      </c>
      <c r="D607" t="s">
        <v>158</v>
      </c>
      <c r="E607" t="s">
        <v>1683</v>
      </c>
      <c r="F607" t="s">
        <v>1684</v>
      </c>
      <c r="G607" t="s">
        <v>1685</v>
      </c>
      <c r="H607" t="s">
        <v>663</v>
      </c>
      <c r="I607">
        <v>180</v>
      </c>
      <c r="J607">
        <v>79</v>
      </c>
      <c r="K607">
        <v>8</v>
      </c>
      <c r="L607" t="s">
        <v>142</v>
      </c>
    </row>
    <row r="608" spans="1:12" x14ac:dyDescent="0.3">
      <c r="A608" t="s">
        <v>56</v>
      </c>
      <c r="B608" t="s">
        <v>1660</v>
      </c>
      <c r="C608">
        <v>9</v>
      </c>
      <c r="D608" t="s">
        <v>163</v>
      </c>
      <c r="E608" t="s">
        <v>1686</v>
      </c>
      <c r="F608" t="s">
        <v>1669</v>
      </c>
      <c r="G608" t="s">
        <v>1687</v>
      </c>
      <c r="H608" t="s">
        <v>194</v>
      </c>
      <c r="I608">
        <v>187</v>
      </c>
      <c r="J608">
        <v>23</v>
      </c>
      <c r="K608">
        <v>5</v>
      </c>
      <c r="L608" t="s">
        <v>142</v>
      </c>
    </row>
    <row r="609" spans="1:12" x14ac:dyDescent="0.3">
      <c r="A609" t="s">
        <v>56</v>
      </c>
      <c r="B609" t="s">
        <v>1660</v>
      </c>
      <c r="C609">
        <v>10</v>
      </c>
      <c r="D609" t="s">
        <v>163</v>
      </c>
      <c r="E609" t="s">
        <v>1688</v>
      </c>
      <c r="F609" t="s">
        <v>1689</v>
      </c>
      <c r="G609" t="s">
        <v>1690</v>
      </c>
      <c r="H609" t="s">
        <v>663</v>
      </c>
      <c r="I609">
        <v>183</v>
      </c>
      <c r="J609">
        <v>73</v>
      </c>
      <c r="K609">
        <v>26</v>
      </c>
      <c r="L609" t="s">
        <v>142</v>
      </c>
    </row>
    <row r="610" spans="1:12" x14ac:dyDescent="0.3">
      <c r="A610" t="s">
        <v>56</v>
      </c>
      <c r="B610" t="s">
        <v>1660</v>
      </c>
      <c r="C610">
        <v>11</v>
      </c>
      <c r="D610" t="s">
        <v>163</v>
      </c>
      <c r="E610" t="s">
        <v>1691</v>
      </c>
      <c r="F610" t="s">
        <v>1692</v>
      </c>
      <c r="G610" t="s">
        <v>1693</v>
      </c>
      <c r="H610" t="s">
        <v>25</v>
      </c>
      <c r="I610">
        <v>183</v>
      </c>
      <c r="J610">
        <v>6</v>
      </c>
      <c r="K610">
        <v>0</v>
      </c>
      <c r="L610" t="s">
        <v>142</v>
      </c>
    </row>
    <row r="611" spans="1:12" x14ac:dyDescent="0.3">
      <c r="A611" t="s">
        <v>56</v>
      </c>
      <c r="B611" t="s">
        <v>1660</v>
      </c>
      <c r="C611">
        <v>12</v>
      </c>
      <c r="D611" t="s">
        <v>137</v>
      </c>
      <c r="E611" t="s">
        <v>1694</v>
      </c>
      <c r="F611" t="s">
        <v>1695</v>
      </c>
      <c r="G611" t="s">
        <v>1676</v>
      </c>
      <c r="H611" t="s">
        <v>1660</v>
      </c>
      <c r="I611">
        <v>188</v>
      </c>
      <c r="J611">
        <v>106</v>
      </c>
      <c r="K611">
        <v>0</v>
      </c>
      <c r="L611" t="s">
        <v>142</v>
      </c>
    </row>
    <row r="612" spans="1:12" x14ac:dyDescent="0.3">
      <c r="A612" t="s">
        <v>56</v>
      </c>
      <c r="B612" t="s">
        <v>1660</v>
      </c>
      <c r="C612">
        <v>13</v>
      </c>
      <c r="D612" t="s">
        <v>163</v>
      </c>
      <c r="E612" t="s">
        <v>1696</v>
      </c>
      <c r="F612" t="s">
        <v>1697</v>
      </c>
      <c r="G612" t="s">
        <v>1663</v>
      </c>
      <c r="H612" t="s">
        <v>1660</v>
      </c>
      <c r="I612">
        <v>180</v>
      </c>
      <c r="J612">
        <v>8</v>
      </c>
      <c r="K612">
        <v>1</v>
      </c>
      <c r="L612" t="s">
        <v>142</v>
      </c>
    </row>
    <row r="613" spans="1:12" x14ac:dyDescent="0.3">
      <c r="A613" t="s">
        <v>56</v>
      </c>
      <c r="B613" t="s">
        <v>1660</v>
      </c>
      <c r="C613">
        <v>14</v>
      </c>
      <c r="D613" t="s">
        <v>158</v>
      </c>
      <c r="E613" t="s">
        <v>1698</v>
      </c>
      <c r="F613" t="s">
        <v>1699</v>
      </c>
      <c r="G613" t="s">
        <v>1700</v>
      </c>
      <c r="H613" t="s">
        <v>162</v>
      </c>
      <c r="I613">
        <v>183</v>
      </c>
      <c r="J613">
        <v>28</v>
      </c>
      <c r="K613">
        <v>2</v>
      </c>
      <c r="L613" t="s">
        <v>142</v>
      </c>
    </row>
    <row r="614" spans="1:12" x14ac:dyDescent="0.3">
      <c r="A614" t="s">
        <v>56</v>
      </c>
      <c r="B614" t="s">
        <v>1660</v>
      </c>
      <c r="C614">
        <v>15</v>
      </c>
      <c r="D614" t="s">
        <v>143</v>
      </c>
      <c r="E614" t="s">
        <v>1701</v>
      </c>
      <c r="F614" t="s">
        <v>1581</v>
      </c>
      <c r="G614" t="s">
        <v>1702</v>
      </c>
      <c r="H614" t="s">
        <v>1660</v>
      </c>
      <c r="I614">
        <v>183</v>
      </c>
      <c r="J614">
        <v>8</v>
      </c>
      <c r="K614">
        <v>0</v>
      </c>
      <c r="L614" t="s">
        <v>142</v>
      </c>
    </row>
    <row r="615" spans="1:12" x14ac:dyDescent="0.3">
      <c r="A615" t="s">
        <v>56</v>
      </c>
      <c r="B615" t="s">
        <v>1660</v>
      </c>
      <c r="C615">
        <v>16</v>
      </c>
      <c r="D615" t="s">
        <v>158</v>
      </c>
      <c r="E615" t="s">
        <v>1703</v>
      </c>
      <c r="F615" t="s">
        <v>1704</v>
      </c>
      <c r="G615" t="s">
        <v>1705</v>
      </c>
      <c r="H615" t="s">
        <v>540</v>
      </c>
      <c r="I615">
        <v>180</v>
      </c>
      <c r="J615">
        <v>54</v>
      </c>
      <c r="K615">
        <v>3</v>
      </c>
      <c r="L615" t="s">
        <v>142</v>
      </c>
    </row>
    <row r="616" spans="1:12" x14ac:dyDescent="0.3">
      <c r="A616" t="s">
        <v>56</v>
      </c>
      <c r="B616" t="s">
        <v>1660</v>
      </c>
      <c r="C616">
        <v>17</v>
      </c>
      <c r="D616" t="s">
        <v>163</v>
      </c>
      <c r="E616" t="s">
        <v>1706</v>
      </c>
      <c r="F616" t="s">
        <v>1707</v>
      </c>
      <c r="G616" t="s">
        <v>1294</v>
      </c>
      <c r="H616" t="s">
        <v>167</v>
      </c>
      <c r="I616">
        <v>178</v>
      </c>
      <c r="J616">
        <v>38</v>
      </c>
      <c r="K616">
        <v>2</v>
      </c>
      <c r="L616" t="s">
        <v>142</v>
      </c>
    </row>
    <row r="617" spans="1:12" x14ac:dyDescent="0.3">
      <c r="A617" t="s">
        <v>56</v>
      </c>
      <c r="B617" t="s">
        <v>1660</v>
      </c>
      <c r="C617">
        <v>18</v>
      </c>
      <c r="D617" t="s">
        <v>163</v>
      </c>
      <c r="E617" t="s">
        <v>1708</v>
      </c>
      <c r="F617" t="s">
        <v>1709</v>
      </c>
      <c r="G617" t="s">
        <v>1702</v>
      </c>
      <c r="H617" t="s">
        <v>1660</v>
      </c>
      <c r="I617">
        <v>190</v>
      </c>
      <c r="J617">
        <v>97</v>
      </c>
      <c r="K617">
        <v>34</v>
      </c>
      <c r="L617" t="s">
        <v>142</v>
      </c>
    </row>
    <row r="618" spans="1:12" x14ac:dyDescent="0.3">
      <c r="A618" t="s">
        <v>56</v>
      </c>
      <c r="B618" t="s">
        <v>1660</v>
      </c>
      <c r="C618">
        <v>19</v>
      </c>
      <c r="D618" t="s">
        <v>158</v>
      </c>
      <c r="E618" t="s">
        <v>1710</v>
      </c>
      <c r="F618" t="s">
        <v>782</v>
      </c>
      <c r="G618" t="s">
        <v>1711</v>
      </c>
      <c r="H618" t="s">
        <v>340</v>
      </c>
      <c r="I618">
        <v>180</v>
      </c>
      <c r="J618">
        <v>10</v>
      </c>
      <c r="K618">
        <v>0</v>
      </c>
      <c r="L618" t="s">
        <v>142</v>
      </c>
    </row>
    <row r="619" spans="1:12" x14ac:dyDescent="0.3">
      <c r="A619" t="s">
        <v>56</v>
      </c>
      <c r="B619" t="s">
        <v>1660</v>
      </c>
      <c r="C619">
        <v>20</v>
      </c>
      <c r="D619" t="s">
        <v>158</v>
      </c>
      <c r="E619" t="s">
        <v>1712</v>
      </c>
      <c r="F619" t="s">
        <v>1713</v>
      </c>
      <c r="G619" t="s">
        <v>1714</v>
      </c>
      <c r="H619" t="s">
        <v>1715</v>
      </c>
      <c r="I619">
        <v>180</v>
      </c>
      <c r="J619">
        <v>8</v>
      </c>
      <c r="K619">
        <v>0</v>
      </c>
      <c r="L619" t="s">
        <v>142</v>
      </c>
    </row>
    <row r="620" spans="1:12" x14ac:dyDescent="0.3">
      <c r="A620" t="s">
        <v>56</v>
      </c>
      <c r="B620" t="s">
        <v>1660</v>
      </c>
      <c r="C620">
        <v>21</v>
      </c>
      <c r="D620" t="s">
        <v>163</v>
      </c>
      <c r="E620" t="s">
        <v>1716</v>
      </c>
      <c r="F620" t="s">
        <v>1717</v>
      </c>
      <c r="G620" t="s">
        <v>450</v>
      </c>
      <c r="H620" t="s">
        <v>200</v>
      </c>
      <c r="I620">
        <v>185</v>
      </c>
      <c r="J620">
        <v>14</v>
      </c>
      <c r="K620">
        <v>0</v>
      </c>
      <c r="L620" t="s">
        <v>142</v>
      </c>
    </row>
    <row r="621" spans="1:12" x14ac:dyDescent="0.3">
      <c r="A621" t="s">
        <v>56</v>
      </c>
      <c r="B621" t="s">
        <v>1660</v>
      </c>
      <c r="C621">
        <v>22</v>
      </c>
      <c r="D621" t="s">
        <v>137</v>
      </c>
      <c r="E621" t="s">
        <v>1718</v>
      </c>
      <c r="F621" t="s">
        <v>1719</v>
      </c>
      <c r="G621" t="s">
        <v>1679</v>
      </c>
      <c r="H621" t="s">
        <v>1660</v>
      </c>
      <c r="I621">
        <v>184</v>
      </c>
      <c r="J621">
        <v>18</v>
      </c>
      <c r="K621">
        <v>0</v>
      </c>
      <c r="L621" t="s">
        <v>142</v>
      </c>
    </row>
    <row r="622" spans="1:12" x14ac:dyDescent="0.3">
      <c r="A622" t="s">
        <v>56</v>
      </c>
      <c r="B622" t="s">
        <v>1660</v>
      </c>
      <c r="C622">
        <v>23</v>
      </c>
      <c r="D622" t="s">
        <v>143</v>
      </c>
      <c r="E622" t="s">
        <v>1720</v>
      </c>
      <c r="F622" t="s">
        <v>1721</v>
      </c>
      <c r="G622" t="s">
        <v>414</v>
      </c>
      <c r="H622" t="s">
        <v>415</v>
      </c>
      <c r="I622">
        <v>173</v>
      </c>
      <c r="J622">
        <v>34</v>
      </c>
      <c r="K622">
        <v>1</v>
      </c>
      <c r="L622" t="s">
        <v>142</v>
      </c>
    </row>
    <row r="623" spans="1:12" x14ac:dyDescent="0.3">
      <c r="A623" t="s">
        <v>56</v>
      </c>
      <c r="B623" t="s">
        <v>1660</v>
      </c>
      <c r="C623">
        <v>24</v>
      </c>
      <c r="D623" t="s">
        <v>158</v>
      </c>
      <c r="E623" t="s">
        <v>1722</v>
      </c>
      <c r="F623" t="s">
        <v>1723</v>
      </c>
      <c r="G623" t="s">
        <v>1663</v>
      </c>
      <c r="H623" t="s">
        <v>1660</v>
      </c>
      <c r="I623">
        <v>185</v>
      </c>
      <c r="J623">
        <v>8</v>
      </c>
      <c r="K623">
        <v>0</v>
      </c>
      <c r="L623" t="s">
        <v>142</v>
      </c>
    </row>
    <row r="624" spans="1:12" x14ac:dyDescent="0.3">
      <c r="A624" t="s">
        <v>56</v>
      </c>
      <c r="B624" t="s">
        <v>1660</v>
      </c>
      <c r="C624">
        <v>25</v>
      </c>
      <c r="D624" t="s">
        <v>143</v>
      </c>
      <c r="E624" t="s">
        <v>1724</v>
      </c>
      <c r="F624" t="s">
        <v>1725</v>
      </c>
      <c r="G624" t="s">
        <v>1679</v>
      </c>
      <c r="H624" t="s">
        <v>1660</v>
      </c>
      <c r="I624">
        <v>181</v>
      </c>
      <c r="J624">
        <v>18</v>
      </c>
      <c r="K624">
        <v>0</v>
      </c>
      <c r="L624" t="s">
        <v>142</v>
      </c>
    </row>
    <row r="625" spans="1:12" x14ac:dyDescent="0.3">
      <c r="A625" t="s">
        <v>56</v>
      </c>
      <c r="B625" t="s">
        <v>1660</v>
      </c>
      <c r="C625">
        <v>26</v>
      </c>
      <c r="D625" t="s">
        <v>143</v>
      </c>
      <c r="E625" t="s">
        <v>1726</v>
      </c>
      <c r="F625" t="s">
        <v>1727</v>
      </c>
      <c r="G625" t="s">
        <v>1728</v>
      </c>
      <c r="H625" t="s">
        <v>1729</v>
      </c>
      <c r="I625">
        <v>182</v>
      </c>
      <c r="J625">
        <v>29</v>
      </c>
      <c r="K625">
        <v>0</v>
      </c>
      <c r="L625" t="s">
        <v>142</v>
      </c>
    </row>
    <row r="626" spans="1:12" x14ac:dyDescent="0.3">
      <c r="A626" t="s">
        <v>39</v>
      </c>
      <c r="B626" t="s">
        <v>321</v>
      </c>
      <c r="C626">
        <v>1</v>
      </c>
      <c r="D626" t="s">
        <v>137</v>
      </c>
      <c r="E626" t="s">
        <v>1730</v>
      </c>
      <c r="F626" t="s">
        <v>1731</v>
      </c>
      <c r="G626" t="s">
        <v>311</v>
      </c>
      <c r="H626" t="s">
        <v>200</v>
      </c>
      <c r="I626">
        <v>190</v>
      </c>
      <c r="J626">
        <v>29</v>
      </c>
      <c r="K626">
        <v>0</v>
      </c>
      <c r="L626" t="s">
        <v>142</v>
      </c>
    </row>
    <row r="627" spans="1:12" x14ac:dyDescent="0.3">
      <c r="A627" t="s">
        <v>39</v>
      </c>
      <c r="B627" t="s">
        <v>321</v>
      </c>
      <c r="C627">
        <v>2</v>
      </c>
      <c r="D627" t="s">
        <v>143</v>
      </c>
      <c r="E627" t="s">
        <v>1732</v>
      </c>
      <c r="F627" t="s">
        <v>1733</v>
      </c>
      <c r="G627" t="s">
        <v>431</v>
      </c>
      <c r="H627" t="s">
        <v>177</v>
      </c>
      <c r="I627">
        <v>179</v>
      </c>
      <c r="J627">
        <v>26</v>
      </c>
      <c r="K627">
        <v>2</v>
      </c>
      <c r="L627" t="s">
        <v>142</v>
      </c>
    </row>
    <row r="628" spans="1:12" x14ac:dyDescent="0.3">
      <c r="A628" t="s">
        <v>39</v>
      </c>
      <c r="B628" t="s">
        <v>321</v>
      </c>
      <c r="C628">
        <v>3</v>
      </c>
      <c r="D628" t="s">
        <v>143</v>
      </c>
      <c r="E628" t="s">
        <v>1734</v>
      </c>
      <c r="F628" t="s">
        <v>620</v>
      </c>
      <c r="G628" t="s">
        <v>1735</v>
      </c>
      <c r="H628" t="s">
        <v>223</v>
      </c>
      <c r="I628">
        <v>185</v>
      </c>
      <c r="J628">
        <v>42</v>
      </c>
      <c r="K628">
        <v>1</v>
      </c>
      <c r="L628" t="s">
        <v>142</v>
      </c>
    </row>
    <row r="629" spans="1:12" x14ac:dyDescent="0.3">
      <c r="A629" t="s">
        <v>39</v>
      </c>
      <c r="B629" t="s">
        <v>321</v>
      </c>
      <c r="C629">
        <v>4</v>
      </c>
      <c r="D629" t="s">
        <v>143</v>
      </c>
      <c r="E629" t="s">
        <v>1736</v>
      </c>
      <c r="F629" t="s">
        <v>672</v>
      </c>
      <c r="G629" t="s">
        <v>1023</v>
      </c>
      <c r="H629" t="s">
        <v>162</v>
      </c>
      <c r="I629">
        <v>188</v>
      </c>
      <c r="J629">
        <v>43</v>
      </c>
      <c r="K629">
        <v>3</v>
      </c>
      <c r="L629" t="s">
        <v>142</v>
      </c>
    </row>
    <row r="630" spans="1:12" x14ac:dyDescent="0.3">
      <c r="A630" t="s">
        <v>39</v>
      </c>
      <c r="B630" t="s">
        <v>321</v>
      </c>
      <c r="C630">
        <v>5</v>
      </c>
      <c r="D630" t="s">
        <v>143</v>
      </c>
      <c r="E630" t="s">
        <v>1737</v>
      </c>
      <c r="F630" t="s">
        <v>1738</v>
      </c>
      <c r="G630" t="s">
        <v>1739</v>
      </c>
      <c r="H630" t="s">
        <v>321</v>
      </c>
      <c r="I630">
        <v>170</v>
      </c>
      <c r="J630">
        <v>146</v>
      </c>
      <c r="K630">
        <v>4</v>
      </c>
      <c r="L630" t="s">
        <v>142</v>
      </c>
    </row>
    <row r="631" spans="1:12" x14ac:dyDescent="0.3">
      <c r="A631" t="s">
        <v>39</v>
      </c>
      <c r="B631" t="s">
        <v>321</v>
      </c>
      <c r="C631">
        <v>6</v>
      </c>
      <c r="D631" t="s">
        <v>163</v>
      </c>
      <c r="E631" t="s">
        <v>1740</v>
      </c>
      <c r="F631" t="s">
        <v>1741</v>
      </c>
      <c r="G631" t="s">
        <v>578</v>
      </c>
      <c r="H631" t="s">
        <v>177</v>
      </c>
      <c r="I631">
        <v>185</v>
      </c>
      <c r="J631">
        <v>15</v>
      </c>
      <c r="K631">
        <v>5</v>
      </c>
      <c r="L631" t="s">
        <v>142</v>
      </c>
    </row>
    <row r="632" spans="1:12" x14ac:dyDescent="0.3">
      <c r="A632" t="s">
        <v>39</v>
      </c>
      <c r="B632" t="s">
        <v>321</v>
      </c>
      <c r="C632">
        <v>7</v>
      </c>
      <c r="D632" t="s">
        <v>158</v>
      </c>
      <c r="E632" t="s">
        <v>1742</v>
      </c>
      <c r="F632" t="s">
        <v>1743</v>
      </c>
      <c r="G632" t="s">
        <v>1744</v>
      </c>
      <c r="H632" t="s">
        <v>194</v>
      </c>
      <c r="I632">
        <v>180</v>
      </c>
      <c r="J632">
        <v>41</v>
      </c>
      <c r="K632">
        <v>8</v>
      </c>
      <c r="L632" t="s">
        <v>142</v>
      </c>
    </row>
    <row r="633" spans="1:12" x14ac:dyDescent="0.3">
      <c r="A633" t="s">
        <v>39</v>
      </c>
      <c r="B633" t="s">
        <v>321</v>
      </c>
      <c r="C633">
        <v>8</v>
      </c>
      <c r="D633" t="s">
        <v>158</v>
      </c>
      <c r="E633" t="s">
        <v>1745</v>
      </c>
      <c r="F633" t="s">
        <v>1746</v>
      </c>
      <c r="G633" t="s">
        <v>1020</v>
      </c>
      <c r="H633" t="s">
        <v>219</v>
      </c>
      <c r="I633">
        <v>173</v>
      </c>
      <c r="J633">
        <v>50</v>
      </c>
      <c r="K633">
        <v>7</v>
      </c>
      <c r="L633" t="s">
        <v>142</v>
      </c>
    </row>
    <row r="634" spans="1:12" x14ac:dyDescent="0.3">
      <c r="A634" t="s">
        <v>39</v>
      </c>
      <c r="B634" t="s">
        <v>321</v>
      </c>
      <c r="C634">
        <v>9</v>
      </c>
      <c r="D634" t="s">
        <v>163</v>
      </c>
      <c r="E634" t="s">
        <v>1747</v>
      </c>
      <c r="F634" t="s">
        <v>1402</v>
      </c>
      <c r="G634" t="s">
        <v>1735</v>
      </c>
      <c r="H634" t="s">
        <v>223</v>
      </c>
      <c r="I634">
        <v>191</v>
      </c>
      <c r="J634">
        <v>5</v>
      </c>
      <c r="K634">
        <v>0</v>
      </c>
      <c r="L634" t="s">
        <v>142</v>
      </c>
    </row>
    <row r="635" spans="1:12" x14ac:dyDescent="0.3">
      <c r="A635" t="s">
        <v>39</v>
      </c>
      <c r="B635" t="s">
        <v>321</v>
      </c>
      <c r="C635">
        <v>10</v>
      </c>
      <c r="D635" t="s">
        <v>158</v>
      </c>
      <c r="E635" t="s">
        <v>1748</v>
      </c>
      <c r="F635" t="s">
        <v>1749</v>
      </c>
      <c r="G635" t="s">
        <v>176</v>
      </c>
      <c r="H635" t="s">
        <v>177</v>
      </c>
      <c r="I635">
        <v>172</v>
      </c>
      <c r="J635">
        <v>70</v>
      </c>
      <c r="K635">
        <v>11</v>
      </c>
      <c r="L635" t="s">
        <v>142</v>
      </c>
    </row>
    <row r="636" spans="1:12" x14ac:dyDescent="0.3">
      <c r="A636" t="s">
        <v>39</v>
      </c>
      <c r="B636" t="s">
        <v>321</v>
      </c>
      <c r="C636">
        <v>11</v>
      </c>
      <c r="D636" t="s">
        <v>158</v>
      </c>
      <c r="E636" t="s">
        <v>1750</v>
      </c>
      <c r="F636" t="s">
        <v>1751</v>
      </c>
      <c r="G636" t="s">
        <v>739</v>
      </c>
      <c r="H636" t="s">
        <v>347</v>
      </c>
      <c r="I636">
        <v>173</v>
      </c>
      <c r="J636">
        <v>31</v>
      </c>
      <c r="K636">
        <v>6</v>
      </c>
      <c r="L636" t="s">
        <v>142</v>
      </c>
    </row>
    <row r="637" spans="1:12" x14ac:dyDescent="0.3">
      <c r="A637" t="s">
        <v>39</v>
      </c>
      <c r="B637" t="s">
        <v>321</v>
      </c>
      <c r="C637">
        <v>12</v>
      </c>
      <c r="D637" t="s">
        <v>137</v>
      </c>
      <c r="E637" t="s">
        <v>1752</v>
      </c>
      <c r="F637" t="s">
        <v>1753</v>
      </c>
      <c r="G637" t="s">
        <v>1754</v>
      </c>
      <c r="H637" t="s">
        <v>321</v>
      </c>
      <c r="I637">
        <v>188</v>
      </c>
      <c r="J637">
        <v>11</v>
      </c>
      <c r="K637">
        <v>0</v>
      </c>
      <c r="L637" t="s">
        <v>142</v>
      </c>
    </row>
    <row r="638" spans="1:12" x14ac:dyDescent="0.3">
      <c r="A638" t="s">
        <v>39</v>
      </c>
      <c r="B638" t="s">
        <v>321</v>
      </c>
      <c r="C638">
        <v>13</v>
      </c>
      <c r="D638" t="s">
        <v>158</v>
      </c>
      <c r="E638" t="s">
        <v>1755</v>
      </c>
      <c r="F638" t="s">
        <v>1756</v>
      </c>
      <c r="G638" t="s">
        <v>1757</v>
      </c>
      <c r="H638" t="s">
        <v>147</v>
      </c>
      <c r="I638">
        <v>180</v>
      </c>
      <c r="J638">
        <v>30</v>
      </c>
      <c r="K638">
        <v>12</v>
      </c>
      <c r="L638" t="s">
        <v>142</v>
      </c>
    </row>
    <row r="639" spans="1:12" x14ac:dyDescent="0.3">
      <c r="A639" t="s">
        <v>39</v>
      </c>
      <c r="B639" t="s">
        <v>321</v>
      </c>
      <c r="C639">
        <v>14</v>
      </c>
      <c r="D639" t="s">
        <v>158</v>
      </c>
      <c r="E639" t="s">
        <v>1758</v>
      </c>
      <c r="F639" t="s">
        <v>1759</v>
      </c>
      <c r="G639" t="s">
        <v>904</v>
      </c>
      <c r="H639" t="s">
        <v>223</v>
      </c>
      <c r="I639">
        <v>177</v>
      </c>
      <c r="J639">
        <v>73</v>
      </c>
      <c r="K639">
        <v>16</v>
      </c>
      <c r="L639" t="s">
        <v>142</v>
      </c>
    </row>
    <row r="640" spans="1:12" x14ac:dyDescent="0.3">
      <c r="A640" t="s">
        <v>39</v>
      </c>
      <c r="B640" t="s">
        <v>321</v>
      </c>
      <c r="C640">
        <v>15</v>
      </c>
      <c r="D640" t="s">
        <v>158</v>
      </c>
      <c r="E640" t="s">
        <v>1760</v>
      </c>
      <c r="F640" t="s">
        <v>1761</v>
      </c>
      <c r="G640" t="s">
        <v>806</v>
      </c>
      <c r="H640" t="s">
        <v>194</v>
      </c>
      <c r="I640">
        <v>180</v>
      </c>
      <c r="J640">
        <v>53</v>
      </c>
      <c r="K640">
        <v>14</v>
      </c>
      <c r="L640" t="s">
        <v>142</v>
      </c>
    </row>
    <row r="641" spans="1:12" x14ac:dyDescent="0.3">
      <c r="A641" t="s">
        <v>39</v>
      </c>
      <c r="B641" t="s">
        <v>321</v>
      </c>
      <c r="C641">
        <v>16</v>
      </c>
      <c r="D641" t="s">
        <v>143</v>
      </c>
      <c r="E641" t="s">
        <v>1762</v>
      </c>
      <c r="F641" t="s">
        <v>1763</v>
      </c>
      <c r="G641" t="s">
        <v>180</v>
      </c>
      <c r="H641" t="s">
        <v>162</v>
      </c>
      <c r="I641">
        <v>184</v>
      </c>
      <c r="J641">
        <v>14</v>
      </c>
      <c r="K641">
        <v>0</v>
      </c>
      <c r="L641" t="s">
        <v>142</v>
      </c>
    </row>
    <row r="642" spans="1:12" x14ac:dyDescent="0.3">
      <c r="A642" t="s">
        <v>39</v>
      </c>
      <c r="B642" t="s">
        <v>321</v>
      </c>
      <c r="C642">
        <v>17</v>
      </c>
      <c r="D642" t="s">
        <v>158</v>
      </c>
      <c r="E642" t="s">
        <v>1764</v>
      </c>
      <c r="F642" t="s">
        <v>1765</v>
      </c>
      <c r="G642" t="s">
        <v>424</v>
      </c>
      <c r="H642" t="s">
        <v>177</v>
      </c>
      <c r="I642">
        <v>175</v>
      </c>
      <c r="J642">
        <v>7</v>
      </c>
      <c r="K642">
        <v>0</v>
      </c>
      <c r="L642" t="s">
        <v>142</v>
      </c>
    </row>
    <row r="643" spans="1:12" x14ac:dyDescent="0.3">
      <c r="A643" t="s">
        <v>39</v>
      </c>
      <c r="B643" t="s">
        <v>321</v>
      </c>
      <c r="C643">
        <v>18</v>
      </c>
      <c r="D643" t="s">
        <v>163</v>
      </c>
      <c r="E643" t="s">
        <v>1766</v>
      </c>
      <c r="F643" t="s">
        <v>1767</v>
      </c>
      <c r="G643" t="s">
        <v>180</v>
      </c>
      <c r="H643" t="s">
        <v>162</v>
      </c>
      <c r="I643">
        <v>182</v>
      </c>
      <c r="J643">
        <v>44</v>
      </c>
      <c r="K643">
        <v>18</v>
      </c>
      <c r="L643" t="s">
        <v>142</v>
      </c>
    </row>
    <row r="644" spans="1:12" x14ac:dyDescent="0.3">
      <c r="A644" t="s">
        <v>39</v>
      </c>
      <c r="B644" t="s">
        <v>321</v>
      </c>
      <c r="C644">
        <v>19</v>
      </c>
      <c r="D644" t="s">
        <v>163</v>
      </c>
      <c r="E644" t="s">
        <v>1768</v>
      </c>
      <c r="F644" t="s">
        <v>1769</v>
      </c>
      <c r="G644" t="s">
        <v>1132</v>
      </c>
      <c r="H644" t="s">
        <v>162</v>
      </c>
      <c r="I644">
        <v>186</v>
      </c>
      <c r="J644">
        <v>18</v>
      </c>
      <c r="K644">
        <v>11</v>
      </c>
      <c r="L644" t="s">
        <v>142</v>
      </c>
    </row>
    <row r="645" spans="1:12" x14ac:dyDescent="0.3">
      <c r="A645" t="s">
        <v>39</v>
      </c>
      <c r="B645" t="s">
        <v>321</v>
      </c>
      <c r="C645">
        <v>20</v>
      </c>
      <c r="D645" t="s">
        <v>143</v>
      </c>
      <c r="E645" t="s">
        <v>1770</v>
      </c>
      <c r="F645" t="s">
        <v>1771</v>
      </c>
      <c r="G645" t="s">
        <v>873</v>
      </c>
      <c r="H645" t="s">
        <v>147</v>
      </c>
      <c r="I645">
        <v>186</v>
      </c>
      <c r="J645">
        <v>16</v>
      </c>
      <c r="K645">
        <v>0</v>
      </c>
      <c r="L645" t="s">
        <v>142</v>
      </c>
    </row>
    <row r="646" spans="1:12" x14ac:dyDescent="0.3">
      <c r="A646" t="s">
        <v>39</v>
      </c>
      <c r="B646" t="s">
        <v>321</v>
      </c>
      <c r="C646">
        <v>21</v>
      </c>
      <c r="D646" t="s">
        <v>143</v>
      </c>
      <c r="E646" t="s">
        <v>1772</v>
      </c>
      <c r="F646" t="s">
        <v>1773</v>
      </c>
      <c r="G646" t="s">
        <v>437</v>
      </c>
      <c r="H646" t="s">
        <v>177</v>
      </c>
      <c r="I646">
        <v>188</v>
      </c>
      <c r="J646">
        <v>29</v>
      </c>
      <c r="K646">
        <v>1</v>
      </c>
      <c r="L646" t="s">
        <v>142</v>
      </c>
    </row>
    <row r="647" spans="1:12" x14ac:dyDescent="0.3">
      <c r="A647" t="s">
        <v>39</v>
      </c>
      <c r="B647" t="s">
        <v>321</v>
      </c>
      <c r="C647">
        <v>22</v>
      </c>
      <c r="D647" t="s">
        <v>143</v>
      </c>
      <c r="E647" t="s">
        <v>1774</v>
      </c>
      <c r="F647" t="s">
        <v>1775</v>
      </c>
      <c r="G647" t="s">
        <v>1023</v>
      </c>
      <c r="H647" t="s">
        <v>162</v>
      </c>
      <c r="I647">
        <v>187</v>
      </c>
      <c r="J647">
        <v>46</v>
      </c>
      <c r="K647">
        <v>1</v>
      </c>
      <c r="L647" t="s">
        <v>142</v>
      </c>
    </row>
    <row r="648" spans="1:12" x14ac:dyDescent="0.3">
      <c r="A648" t="s">
        <v>39</v>
      </c>
      <c r="B648" t="s">
        <v>321</v>
      </c>
      <c r="C648">
        <v>23</v>
      </c>
      <c r="D648" t="s">
        <v>137</v>
      </c>
      <c r="E648" t="s">
        <v>1776</v>
      </c>
      <c r="F648" t="s">
        <v>1777</v>
      </c>
      <c r="G648" t="s">
        <v>1778</v>
      </c>
      <c r="H648" t="s">
        <v>321</v>
      </c>
      <c r="I648">
        <v>187</v>
      </c>
      <c r="J648">
        <v>4</v>
      </c>
      <c r="K648">
        <v>0</v>
      </c>
      <c r="L648" t="s">
        <v>142</v>
      </c>
    </row>
    <row r="649" spans="1:12" x14ac:dyDescent="0.3">
      <c r="A649" t="s">
        <v>39</v>
      </c>
      <c r="B649" t="s">
        <v>321</v>
      </c>
      <c r="C649">
        <v>24</v>
      </c>
      <c r="D649" t="s">
        <v>158</v>
      </c>
      <c r="E649" t="s">
        <v>1779</v>
      </c>
      <c r="F649" t="s">
        <v>1780</v>
      </c>
      <c r="G649" t="s">
        <v>394</v>
      </c>
      <c r="H649" t="s">
        <v>177</v>
      </c>
      <c r="I649">
        <v>176</v>
      </c>
      <c r="J649">
        <v>17</v>
      </c>
      <c r="K649">
        <v>1</v>
      </c>
      <c r="L649" t="s">
        <v>142</v>
      </c>
    </row>
    <row r="650" spans="1:12" x14ac:dyDescent="0.3">
      <c r="A650" t="s">
        <v>39</v>
      </c>
      <c r="B650" t="s">
        <v>321</v>
      </c>
      <c r="C650">
        <v>25</v>
      </c>
      <c r="D650" t="s">
        <v>143</v>
      </c>
      <c r="E650" t="s">
        <v>1781</v>
      </c>
      <c r="F650" t="s">
        <v>1692</v>
      </c>
      <c r="G650" t="s">
        <v>1058</v>
      </c>
      <c r="H650" t="s">
        <v>340</v>
      </c>
      <c r="I650">
        <v>180</v>
      </c>
      <c r="J650">
        <v>8</v>
      </c>
      <c r="K650">
        <v>0</v>
      </c>
      <c r="L650" t="s">
        <v>142</v>
      </c>
    </row>
    <row r="651" spans="1:12" x14ac:dyDescent="0.3">
      <c r="A651" t="s">
        <v>39</v>
      </c>
      <c r="B651" t="s">
        <v>321</v>
      </c>
      <c r="C651">
        <v>26</v>
      </c>
      <c r="D651" t="s">
        <v>163</v>
      </c>
      <c r="E651" t="s">
        <v>1782</v>
      </c>
      <c r="F651" t="s">
        <v>1783</v>
      </c>
      <c r="G651" t="s">
        <v>203</v>
      </c>
      <c r="H651" t="s">
        <v>177</v>
      </c>
      <c r="I651">
        <v>180</v>
      </c>
      <c r="J651">
        <v>3</v>
      </c>
      <c r="K651">
        <v>0</v>
      </c>
      <c r="L651" t="s">
        <v>142</v>
      </c>
    </row>
    <row r="652" spans="1:12" x14ac:dyDescent="0.3">
      <c r="A652" t="s">
        <v>62</v>
      </c>
      <c r="B652" t="s">
        <v>1784</v>
      </c>
      <c r="C652">
        <v>1</v>
      </c>
      <c r="D652" t="s">
        <v>137</v>
      </c>
      <c r="E652" t="s">
        <v>1785</v>
      </c>
      <c r="F652" t="s">
        <v>1786</v>
      </c>
      <c r="G652" t="s">
        <v>1787</v>
      </c>
      <c r="H652" t="s">
        <v>1784</v>
      </c>
      <c r="I652">
        <v>188</v>
      </c>
      <c r="J652">
        <v>79</v>
      </c>
      <c r="K652">
        <v>0</v>
      </c>
      <c r="L652" t="s">
        <v>142</v>
      </c>
    </row>
    <row r="653" spans="1:12" x14ac:dyDescent="0.3">
      <c r="A653" t="s">
        <v>62</v>
      </c>
      <c r="B653" t="s">
        <v>1784</v>
      </c>
      <c r="C653">
        <v>2</v>
      </c>
      <c r="D653" t="s">
        <v>143</v>
      </c>
      <c r="E653" t="s">
        <v>1788</v>
      </c>
      <c r="F653" t="s">
        <v>1789</v>
      </c>
      <c r="G653" t="s">
        <v>1702</v>
      </c>
      <c r="H653" t="s">
        <v>1660</v>
      </c>
      <c r="I653">
        <v>179</v>
      </c>
      <c r="J653">
        <v>57</v>
      </c>
      <c r="K653">
        <v>1</v>
      </c>
      <c r="L653" t="s">
        <v>142</v>
      </c>
    </row>
    <row r="654" spans="1:12" x14ac:dyDescent="0.3">
      <c r="A654" t="s">
        <v>62</v>
      </c>
      <c r="B654" t="s">
        <v>1784</v>
      </c>
      <c r="C654">
        <v>3</v>
      </c>
      <c r="D654" t="s">
        <v>143</v>
      </c>
      <c r="E654" t="s">
        <v>1790</v>
      </c>
      <c r="F654" t="s">
        <v>1791</v>
      </c>
      <c r="G654" t="s">
        <v>1676</v>
      </c>
      <c r="H654" t="s">
        <v>1660</v>
      </c>
      <c r="I654">
        <v>184</v>
      </c>
      <c r="J654">
        <v>68</v>
      </c>
      <c r="K654">
        <v>2</v>
      </c>
      <c r="L654" t="s">
        <v>142</v>
      </c>
    </row>
    <row r="655" spans="1:12" x14ac:dyDescent="0.3">
      <c r="A655" t="s">
        <v>62</v>
      </c>
      <c r="B655" t="s">
        <v>1784</v>
      </c>
      <c r="C655">
        <v>4</v>
      </c>
      <c r="D655" t="s">
        <v>143</v>
      </c>
      <c r="E655" t="s">
        <v>1792</v>
      </c>
      <c r="F655" t="s">
        <v>1793</v>
      </c>
      <c r="G655" t="s">
        <v>1794</v>
      </c>
      <c r="H655" t="s">
        <v>1784</v>
      </c>
      <c r="I655">
        <v>186</v>
      </c>
      <c r="J655">
        <v>19</v>
      </c>
      <c r="K655">
        <v>0</v>
      </c>
      <c r="L655" t="s">
        <v>142</v>
      </c>
    </row>
    <row r="656" spans="1:12" x14ac:dyDescent="0.3">
      <c r="A656" t="s">
        <v>62</v>
      </c>
      <c r="B656" t="s">
        <v>1784</v>
      </c>
      <c r="C656">
        <v>5</v>
      </c>
      <c r="D656" t="s">
        <v>143</v>
      </c>
      <c r="E656" t="s">
        <v>1795</v>
      </c>
      <c r="F656" t="s">
        <v>625</v>
      </c>
      <c r="G656" t="s">
        <v>1796</v>
      </c>
      <c r="H656" t="s">
        <v>1797</v>
      </c>
      <c r="I656">
        <v>185</v>
      </c>
      <c r="J656">
        <v>83</v>
      </c>
      <c r="K656">
        <v>3</v>
      </c>
      <c r="L656" t="s">
        <v>142</v>
      </c>
    </row>
    <row r="657" spans="1:12" x14ac:dyDescent="0.3">
      <c r="A657" t="s">
        <v>62</v>
      </c>
      <c r="B657" t="s">
        <v>1784</v>
      </c>
      <c r="C657">
        <v>6</v>
      </c>
      <c r="D657" t="s">
        <v>158</v>
      </c>
      <c r="E657" t="s">
        <v>1798</v>
      </c>
      <c r="F657" t="s">
        <v>1799</v>
      </c>
      <c r="G657" t="s">
        <v>1676</v>
      </c>
      <c r="H657" t="s">
        <v>1660</v>
      </c>
      <c r="I657">
        <v>177</v>
      </c>
      <c r="J657">
        <v>20</v>
      </c>
      <c r="K657">
        <v>1</v>
      </c>
      <c r="L657" t="s">
        <v>142</v>
      </c>
    </row>
    <row r="658" spans="1:12" x14ac:dyDescent="0.3">
      <c r="A658" t="s">
        <v>62</v>
      </c>
      <c r="B658" t="s">
        <v>1784</v>
      </c>
      <c r="C658">
        <v>7</v>
      </c>
      <c r="D658" t="s">
        <v>163</v>
      </c>
      <c r="E658" t="s">
        <v>1800</v>
      </c>
      <c r="F658" t="s">
        <v>1801</v>
      </c>
      <c r="G658" t="s">
        <v>1802</v>
      </c>
      <c r="H658" t="s">
        <v>1803</v>
      </c>
      <c r="I658">
        <v>170</v>
      </c>
      <c r="J658">
        <v>42</v>
      </c>
      <c r="K658">
        <v>5</v>
      </c>
      <c r="L658" t="s">
        <v>142</v>
      </c>
    </row>
    <row r="659" spans="1:12" x14ac:dyDescent="0.3">
      <c r="A659" t="s">
        <v>62</v>
      </c>
      <c r="B659" t="s">
        <v>1784</v>
      </c>
      <c r="C659">
        <v>8</v>
      </c>
      <c r="D659" t="s">
        <v>158</v>
      </c>
      <c r="E659" t="s">
        <v>1804</v>
      </c>
      <c r="F659" t="s">
        <v>1805</v>
      </c>
      <c r="G659" t="s">
        <v>1806</v>
      </c>
      <c r="H659" t="s">
        <v>1117</v>
      </c>
      <c r="I659">
        <v>182</v>
      </c>
      <c r="J659">
        <v>71</v>
      </c>
      <c r="K659">
        <v>3</v>
      </c>
      <c r="L659" t="s">
        <v>142</v>
      </c>
    </row>
    <row r="660" spans="1:12" x14ac:dyDescent="0.3">
      <c r="A660" t="s">
        <v>62</v>
      </c>
      <c r="B660" t="s">
        <v>1784</v>
      </c>
      <c r="C660">
        <v>9</v>
      </c>
      <c r="D660" t="s">
        <v>163</v>
      </c>
      <c r="E660" t="s">
        <v>1807</v>
      </c>
      <c r="F660" t="s">
        <v>1808</v>
      </c>
      <c r="G660" t="s">
        <v>1809</v>
      </c>
      <c r="H660" t="s">
        <v>209</v>
      </c>
      <c r="I660">
        <v>182</v>
      </c>
      <c r="J660">
        <v>69</v>
      </c>
      <c r="K660">
        <v>30</v>
      </c>
      <c r="L660" t="s">
        <v>142</v>
      </c>
    </row>
    <row r="661" spans="1:12" x14ac:dyDescent="0.3">
      <c r="A661" t="s">
        <v>62</v>
      </c>
      <c r="B661" t="s">
        <v>1784</v>
      </c>
      <c r="C661">
        <v>10</v>
      </c>
      <c r="D661" t="s">
        <v>163</v>
      </c>
      <c r="E661" t="s">
        <v>1810</v>
      </c>
      <c r="F661" t="s">
        <v>1811</v>
      </c>
      <c r="G661" t="s">
        <v>1366</v>
      </c>
      <c r="H661" t="s">
        <v>147</v>
      </c>
      <c r="I661">
        <v>176</v>
      </c>
      <c r="J661">
        <v>95</v>
      </c>
      <c r="K661">
        <v>25</v>
      </c>
      <c r="L661" t="s">
        <v>142</v>
      </c>
    </row>
    <row r="662" spans="1:12" x14ac:dyDescent="0.3">
      <c r="A662" t="s">
        <v>62</v>
      </c>
      <c r="B662" t="s">
        <v>1784</v>
      </c>
      <c r="C662">
        <v>11</v>
      </c>
      <c r="D662" t="s">
        <v>163</v>
      </c>
      <c r="E662" t="s">
        <v>1812</v>
      </c>
      <c r="F662" t="s">
        <v>1813</v>
      </c>
      <c r="G662" t="s">
        <v>925</v>
      </c>
      <c r="H662" t="s">
        <v>926</v>
      </c>
      <c r="I662">
        <v>180</v>
      </c>
      <c r="J662">
        <v>13</v>
      </c>
      <c r="K662">
        <v>1</v>
      </c>
      <c r="L662" t="s">
        <v>142</v>
      </c>
    </row>
    <row r="663" spans="1:12" x14ac:dyDescent="0.3">
      <c r="A663" t="s">
        <v>62</v>
      </c>
      <c r="B663" t="s">
        <v>1784</v>
      </c>
      <c r="C663">
        <v>12</v>
      </c>
      <c r="D663" t="s">
        <v>137</v>
      </c>
      <c r="E663" t="s">
        <v>1814</v>
      </c>
      <c r="F663" t="s">
        <v>1815</v>
      </c>
      <c r="G663" t="s">
        <v>1794</v>
      </c>
      <c r="H663" t="s">
        <v>1784</v>
      </c>
      <c r="I663">
        <v>179</v>
      </c>
      <c r="J663">
        <v>5</v>
      </c>
      <c r="K663">
        <v>0</v>
      </c>
      <c r="L663" t="s">
        <v>142</v>
      </c>
    </row>
    <row r="664" spans="1:12" x14ac:dyDescent="0.3">
      <c r="A664" t="s">
        <v>62</v>
      </c>
      <c r="B664" t="s">
        <v>1784</v>
      </c>
      <c r="C664">
        <v>13</v>
      </c>
      <c r="D664" t="s">
        <v>163</v>
      </c>
      <c r="E664" t="s">
        <v>1816</v>
      </c>
      <c r="F664" t="s">
        <v>1817</v>
      </c>
      <c r="G664" t="s">
        <v>1787</v>
      </c>
      <c r="H664" t="s">
        <v>1784</v>
      </c>
      <c r="I664">
        <v>173</v>
      </c>
      <c r="J664">
        <v>90</v>
      </c>
      <c r="K664">
        <v>8</v>
      </c>
      <c r="L664" t="s">
        <v>142</v>
      </c>
    </row>
    <row r="665" spans="1:12" x14ac:dyDescent="0.3">
      <c r="A665" t="s">
        <v>62</v>
      </c>
      <c r="B665" t="s">
        <v>1784</v>
      </c>
      <c r="C665">
        <v>14</v>
      </c>
      <c r="D665" t="s">
        <v>158</v>
      </c>
      <c r="E665" t="s">
        <v>1818</v>
      </c>
      <c r="F665" t="s">
        <v>1819</v>
      </c>
      <c r="G665" t="s">
        <v>1787</v>
      </c>
      <c r="H665" t="s">
        <v>1784</v>
      </c>
      <c r="I665">
        <v>175</v>
      </c>
      <c r="J665">
        <v>73</v>
      </c>
      <c r="K665">
        <v>0</v>
      </c>
      <c r="L665" t="s">
        <v>142</v>
      </c>
    </row>
    <row r="666" spans="1:12" x14ac:dyDescent="0.3">
      <c r="A666" t="s">
        <v>62</v>
      </c>
      <c r="B666" t="s">
        <v>1784</v>
      </c>
      <c r="C666">
        <v>15</v>
      </c>
      <c r="D666" t="s">
        <v>158</v>
      </c>
      <c r="E666" t="s">
        <v>1820</v>
      </c>
      <c r="F666" t="s">
        <v>1586</v>
      </c>
      <c r="G666" t="s">
        <v>1702</v>
      </c>
      <c r="H666" t="s">
        <v>1660</v>
      </c>
      <c r="I666">
        <v>175</v>
      </c>
      <c r="J666">
        <v>57</v>
      </c>
      <c r="K666">
        <v>3</v>
      </c>
      <c r="L666" t="s">
        <v>142</v>
      </c>
    </row>
    <row r="667" spans="1:12" x14ac:dyDescent="0.3">
      <c r="A667" t="s">
        <v>62</v>
      </c>
      <c r="B667" t="s">
        <v>1784</v>
      </c>
      <c r="C667">
        <v>16</v>
      </c>
      <c r="D667" t="s">
        <v>143</v>
      </c>
      <c r="E667" t="s">
        <v>1821</v>
      </c>
      <c r="F667" t="s">
        <v>1822</v>
      </c>
      <c r="G667" t="s">
        <v>1806</v>
      </c>
      <c r="H667" t="s">
        <v>1117</v>
      </c>
      <c r="I667">
        <v>185</v>
      </c>
      <c r="J667">
        <v>19</v>
      </c>
      <c r="K667">
        <v>0</v>
      </c>
      <c r="L667" t="s">
        <v>142</v>
      </c>
    </row>
    <row r="668" spans="1:12" x14ac:dyDescent="0.3">
      <c r="A668" t="s">
        <v>62</v>
      </c>
      <c r="B668" t="s">
        <v>1784</v>
      </c>
      <c r="C668">
        <v>17</v>
      </c>
      <c r="D668" t="s">
        <v>143</v>
      </c>
      <c r="E668" t="s">
        <v>1823</v>
      </c>
      <c r="F668" t="s">
        <v>1824</v>
      </c>
      <c r="G668" t="s">
        <v>1787</v>
      </c>
      <c r="H668" t="s">
        <v>1784</v>
      </c>
      <c r="I668">
        <v>187</v>
      </c>
      <c r="J668">
        <v>15</v>
      </c>
      <c r="K668">
        <v>0</v>
      </c>
      <c r="L668" t="s">
        <v>142</v>
      </c>
    </row>
    <row r="669" spans="1:12" x14ac:dyDescent="0.3">
      <c r="A669" t="s">
        <v>62</v>
      </c>
      <c r="B669" t="s">
        <v>1784</v>
      </c>
      <c r="C669">
        <v>18</v>
      </c>
      <c r="D669" t="s">
        <v>158</v>
      </c>
      <c r="E669" t="s">
        <v>1825</v>
      </c>
      <c r="F669" t="s">
        <v>1826</v>
      </c>
      <c r="G669" t="s">
        <v>1787</v>
      </c>
      <c r="H669" t="s">
        <v>1784</v>
      </c>
      <c r="I669">
        <v>182</v>
      </c>
      <c r="J669">
        <v>0</v>
      </c>
      <c r="K669">
        <v>0</v>
      </c>
      <c r="L669" t="s">
        <v>142</v>
      </c>
    </row>
    <row r="670" spans="1:12" x14ac:dyDescent="0.3">
      <c r="A670" t="s">
        <v>62</v>
      </c>
      <c r="B670" t="s">
        <v>1784</v>
      </c>
      <c r="C670">
        <v>19</v>
      </c>
      <c r="D670" t="s">
        <v>143</v>
      </c>
      <c r="E670" t="s">
        <v>1827</v>
      </c>
      <c r="F670" t="s">
        <v>1828</v>
      </c>
      <c r="G670" t="s">
        <v>1787</v>
      </c>
      <c r="H670" t="s">
        <v>1784</v>
      </c>
      <c r="I670">
        <v>186</v>
      </c>
      <c r="J670">
        <v>22</v>
      </c>
      <c r="K670">
        <v>2</v>
      </c>
      <c r="L670" t="s">
        <v>142</v>
      </c>
    </row>
    <row r="671" spans="1:12" x14ac:dyDescent="0.3">
      <c r="A671" t="s">
        <v>62</v>
      </c>
      <c r="B671" t="s">
        <v>1784</v>
      </c>
      <c r="C671">
        <v>20</v>
      </c>
      <c r="D671" t="s">
        <v>158</v>
      </c>
      <c r="E671" t="s">
        <v>1829</v>
      </c>
      <c r="F671" t="s">
        <v>1830</v>
      </c>
      <c r="G671" t="s">
        <v>1831</v>
      </c>
      <c r="H671" t="s">
        <v>1660</v>
      </c>
      <c r="I671">
        <v>173</v>
      </c>
      <c r="J671">
        <v>33</v>
      </c>
      <c r="K671">
        <v>1</v>
      </c>
      <c r="L671" t="s">
        <v>142</v>
      </c>
    </row>
    <row r="672" spans="1:12" x14ac:dyDescent="0.3">
      <c r="A672" t="s">
        <v>62</v>
      </c>
      <c r="B672" t="s">
        <v>1784</v>
      </c>
      <c r="C672">
        <v>21</v>
      </c>
      <c r="D672" t="s">
        <v>158</v>
      </c>
      <c r="E672" t="s">
        <v>1832</v>
      </c>
      <c r="F672" t="s">
        <v>1833</v>
      </c>
      <c r="G672" t="s">
        <v>1834</v>
      </c>
      <c r="H672" t="s">
        <v>209</v>
      </c>
      <c r="I672">
        <v>183</v>
      </c>
      <c r="J672">
        <v>50</v>
      </c>
      <c r="K672">
        <v>5</v>
      </c>
      <c r="L672" t="s">
        <v>142</v>
      </c>
    </row>
    <row r="673" spans="1:12" x14ac:dyDescent="0.3">
      <c r="A673" t="s">
        <v>62</v>
      </c>
      <c r="B673" t="s">
        <v>1784</v>
      </c>
      <c r="C673">
        <v>22</v>
      </c>
      <c r="D673" t="s">
        <v>137</v>
      </c>
      <c r="E673" t="s">
        <v>1835</v>
      </c>
      <c r="F673" t="s">
        <v>152</v>
      </c>
      <c r="G673" t="s">
        <v>1836</v>
      </c>
      <c r="H673" t="s">
        <v>1784</v>
      </c>
      <c r="I673">
        <v>190</v>
      </c>
      <c r="J673">
        <v>16</v>
      </c>
      <c r="K673">
        <v>0</v>
      </c>
      <c r="L673" t="s">
        <v>142</v>
      </c>
    </row>
    <row r="674" spans="1:12" x14ac:dyDescent="0.3">
      <c r="A674" t="s">
        <v>62</v>
      </c>
      <c r="B674" t="s">
        <v>1784</v>
      </c>
      <c r="C674">
        <v>23</v>
      </c>
      <c r="D674" t="s">
        <v>143</v>
      </c>
      <c r="E674" t="s">
        <v>1837</v>
      </c>
      <c r="F674" t="s">
        <v>1838</v>
      </c>
      <c r="G674" t="s">
        <v>1787</v>
      </c>
      <c r="H674" t="s">
        <v>1784</v>
      </c>
      <c r="I674">
        <v>174</v>
      </c>
      <c r="J674">
        <v>93</v>
      </c>
      <c r="K674">
        <v>2</v>
      </c>
      <c r="L674" t="s">
        <v>142</v>
      </c>
    </row>
    <row r="675" spans="1:12" x14ac:dyDescent="0.3">
      <c r="A675" t="s">
        <v>62</v>
      </c>
      <c r="B675" t="s">
        <v>1784</v>
      </c>
      <c r="C675">
        <v>24</v>
      </c>
      <c r="D675" t="s">
        <v>163</v>
      </c>
      <c r="E675" t="s">
        <v>1839</v>
      </c>
      <c r="F675" t="s">
        <v>1840</v>
      </c>
      <c r="G675" t="s">
        <v>1841</v>
      </c>
      <c r="H675" t="s">
        <v>167</v>
      </c>
      <c r="I675">
        <v>178</v>
      </c>
      <c r="J675">
        <v>7</v>
      </c>
      <c r="K675">
        <v>0</v>
      </c>
      <c r="L675" t="s">
        <v>142</v>
      </c>
    </row>
    <row r="676" spans="1:12" x14ac:dyDescent="0.3">
      <c r="A676" t="s">
        <v>62</v>
      </c>
      <c r="B676" t="s">
        <v>1784</v>
      </c>
      <c r="C676">
        <v>25</v>
      </c>
      <c r="D676" t="s">
        <v>158</v>
      </c>
      <c r="E676" t="s">
        <v>1842</v>
      </c>
      <c r="F676" t="s">
        <v>1665</v>
      </c>
      <c r="G676" t="s">
        <v>1836</v>
      </c>
      <c r="H676" t="s">
        <v>1784</v>
      </c>
      <c r="I676">
        <v>185</v>
      </c>
      <c r="J676">
        <v>14</v>
      </c>
      <c r="K676">
        <v>1</v>
      </c>
      <c r="L676" t="s">
        <v>142</v>
      </c>
    </row>
    <row r="677" spans="1:12" x14ac:dyDescent="0.3">
      <c r="A677" t="s">
        <v>62</v>
      </c>
      <c r="B677" t="s">
        <v>1784</v>
      </c>
      <c r="C677">
        <v>26</v>
      </c>
      <c r="D677" t="s">
        <v>143</v>
      </c>
      <c r="E677" t="s">
        <v>1843</v>
      </c>
      <c r="F677" t="s">
        <v>1844</v>
      </c>
      <c r="G677" t="s">
        <v>1794</v>
      </c>
      <c r="H677" t="s">
        <v>1784</v>
      </c>
      <c r="I677">
        <v>174</v>
      </c>
      <c r="J677">
        <v>1</v>
      </c>
      <c r="K677">
        <v>0</v>
      </c>
      <c r="L677" t="s">
        <v>142</v>
      </c>
    </row>
    <row r="678" spans="1:12" x14ac:dyDescent="0.3">
      <c r="A678" t="s">
        <v>20</v>
      </c>
      <c r="B678" t="s">
        <v>1797</v>
      </c>
      <c r="C678">
        <v>1</v>
      </c>
      <c r="D678" t="s">
        <v>137</v>
      </c>
      <c r="E678" t="s">
        <v>1845</v>
      </c>
      <c r="F678" t="s">
        <v>1846</v>
      </c>
      <c r="G678" t="s">
        <v>1739</v>
      </c>
      <c r="H678" t="s">
        <v>321</v>
      </c>
      <c r="I678">
        <v>187</v>
      </c>
      <c r="J678">
        <v>89</v>
      </c>
      <c r="K678">
        <v>0</v>
      </c>
      <c r="L678" t="s">
        <v>142</v>
      </c>
    </row>
    <row r="679" spans="1:12" x14ac:dyDescent="0.3">
      <c r="A679" t="s">
        <v>20</v>
      </c>
      <c r="B679" t="s">
        <v>1797</v>
      </c>
      <c r="C679">
        <v>2</v>
      </c>
      <c r="D679" t="s">
        <v>143</v>
      </c>
      <c r="E679" t="s">
        <v>1847</v>
      </c>
      <c r="F679" t="s">
        <v>1848</v>
      </c>
      <c r="G679" t="s">
        <v>1063</v>
      </c>
      <c r="H679" t="s">
        <v>340</v>
      </c>
      <c r="I679">
        <v>188</v>
      </c>
      <c r="J679">
        <v>11</v>
      </c>
      <c r="K679">
        <v>0</v>
      </c>
      <c r="L679" t="s">
        <v>142</v>
      </c>
    </row>
    <row r="680" spans="1:12" x14ac:dyDescent="0.3">
      <c r="A680" t="s">
        <v>20</v>
      </c>
      <c r="B680" t="s">
        <v>1797</v>
      </c>
      <c r="C680">
        <v>3</v>
      </c>
      <c r="D680" t="s">
        <v>158</v>
      </c>
      <c r="E680" t="s">
        <v>1849</v>
      </c>
      <c r="F680" t="s">
        <v>1850</v>
      </c>
      <c r="G680" t="s">
        <v>1851</v>
      </c>
      <c r="H680" t="s">
        <v>1797</v>
      </c>
      <c r="I680">
        <v>184</v>
      </c>
      <c r="J680">
        <v>6</v>
      </c>
      <c r="K680">
        <v>0</v>
      </c>
      <c r="L680" t="s">
        <v>142</v>
      </c>
    </row>
    <row r="681" spans="1:12" x14ac:dyDescent="0.3">
      <c r="A681" t="s">
        <v>20</v>
      </c>
      <c r="B681" t="s">
        <v>1797</v>
      </c>
      <c r="C681">
        <v>4</v>
      </c>
      <c r="D681" t="s">
        <v>143</v>
      </c>
      <c r="E681" t="s">
        <v>1852</v>
      </c>
      <c r="F681" t="s">
        <v>1853</v>
      </c>
      <c r="G681" t="s">
        <v>437</v>
      </c>
      <c r="H681" t="s">
        <v>177</v>
      </c>
      <c r="I681">
        <v>190</v>
      </c>
      <c r="J681">
        <v>82</v>
      </c>
      <c r="K681">
        <v>4</v>
      </c>
      <c r="L681" t="s">
        <v>142</v>
      </c>
    </row>
    <row r="682" spans="1:12" x14ac:dyDescent="0.3">
      <c r="A682" t="s">
        <v>20</v>
      </c>
      <c r="B682" t="s">
        <v>1797</v>
      </c>
      <c r="C682">
        <v>5</v>
      </c>
      <c r="D682" t="s">
        <v>143</v>
      </c>
      <c r="E682" t="s">
        <v>1854</v>
      </c>
      <c r="F682" t="s">
        <v>1855</v>
      </c>
      <c r="G682" t="s">
        <v>1778</v>
      </c>
      <c r="H682" t="s">
        <v>321</v>
      </c>
      <c r="I682">
        <v>186</v>
      </c>
      <c r="J682">
        <v>7</v>
      </c>
      <c r="K682">
        <v>0</v>
      </c>
      <c r="L682" t="s">
        <v>142</v>
      </c>
    </row>
    <row r="683" spans="1:12" x14ac:dyDescent="0.3">
      <c r="A683" t="s">
        <v>20</v>
      </c>
      <c r="B683" t="s">
        <v>1797</v>
      </c>
      <c r="C683">
        <v>6</v>
      </c>
      <c r="D683" t="s">
        <v>158</v>
      </c>
      <c r="E683" t="s">
        <v>1856</v>
      </c>
      <c r="F683" t="s">
        <v>1857</v>
      </c>
      <c r="G683" t="s">
        <v>180</v>
      </c>
      <c r="H683" t="s">
        <v>162</v>
      </c>
      <c r="I683">
        <v>177</v>
      </c>
      <c r="J683">
        <v>76</v>
      </c>
      <c r="K683">
        <v>7</v>
      </c>
      <c r="L683" t="s">
        <v>142</v>
      </c>
    </row>
    <row r="684" spans="1:12" x14ac:dyDescent="0.3">
      <c r="A684" t="s">
        <v>20</v>
      </c>
      <c r="B684" t="s">
        <v>1797</v>
      </c>
      <c r="C684">
        <v>7</v>
      </c>
      <c r="D684" t="s">
        <v>163</v>
      </c>
      <c r="E684" t="s">
        <v>1858</v>
      </c>
      <c r="F684" t="s">
        <v>1859</v>
      </c>
      <c r="G684" t="s">
        <v>751</v>
      </c>
      <c r="H684" t="s">
        <v>25</v>
      </c>
      <c r="I684">
        <v>183</v>
      </c>
      <c r="J684">
        <v>147</v>
      </c>
      <c r="K684">
        <v>56</v>
      </c>
      <c r="L684" t="s">
        <v>142</v>
      </c>
    </row>
    <row r="685" spans="1:12" x14ac:dyDescent="0.3">
      <c r="A685" t="s">
        <v>20</v>
      </c>
      <c r="B685" t="s">
        <v>1797</v>
      </c>
      <c r="C685">
        <v>8</v>
      </c>
      <c r="D685" t="s">
        <v>158</v>
      </c>
      <c r="E685" t="s">
        <v>1860</v>
      </c>
      <c r="F685" t="s">
        <v>1861</v>
      </c>
      <c r="G685" t="s">
        <v>1862</v>
      </c>
      <c r="H685" t="s">
        <v>194</v>
      </c>
      <c r="I685">
        <v>182</v>
      </c>
      <c r="J685">
        <v>30</v>
      </c>
      <c r="K685">
        <v>3</v>
      </c>
      <c r="L685" t="s">
        <v>142</v>
      </c>
    </row>
    <row r="686" spans="1:12" x14ac:dyDescent="0.3">
      <c r="A686" t="s">
        <v>20</v>
      </c>
      <c r="B686" t="s">
        <v>1797</v>
      </c>
      <c r="C686">
        <v>9</v>
      </c>
      <c r="D686" t="s">
        <v>163</v>
      </c>
      <c r="E686" t="s">
        <v>1863</v>
      </c>
      <c r="F686" t="s">
        <v>1864</v>
      </c>
      <c r="G686" t="s">
        <v>1063</v>
      </c>
      <c r="H686" t="s">
        <v>340</v>
      </c>
      <c r="I686">
        <v>188</v>
      </c>
      <c r="J686">
        <v>46</v>
      </c>
      <c r="K686">
        <v>12</v>
      </c>
      <c r="L686" t="s">
        <v>142</v>
      </c>
    </row>
    <row r="687" spans="1:12" x14ac:dyDescent="0.3">
      <c r="A687" t="s">
        <v>20</v>
      </c>
      <c r="B687" t="s">
        <v>1797</v>
      </c>
      <c r="C687">
        <v>10</v>
      </c>
      <c r="D687" t="s">
        <v>158</v>
      </c>
      <c r="E687" t="s">
        <v>1865</v>
      </c>
      <c r="F687" t="s">
        <v>1866</v>
      </c>
      <c r="G687" t="s">
        <v>394</v>
      </c>
      <c r="H687" t="s">
        <v>177</v>
      </c>
      <c r="I687">
        <v>180</v>
      </c>
      <c r="J687">
        <v>107</v>
      </c>
      <c r="K687">
        <v>15</v>
      </c>
      <c r="L687" t="s">
        <v>142</v>
      </c>
    </row>
    <row r="688" spans="1:12" x14ac:dyDescent="0.3">
      <c r="A688" t="s">
        <v>20</v>
      </c>
      <c r="B688" t="s">
        <v>1797</v>
      </c>
      <c r="C688">
        <v>11</v>
      </c>
      <c r="D688" t="s">
        <v>158</v>
      </c>
      <c r="E688" t="s">
        <v>1867</v>
      </c>
      <c r="F688" t="s">
        <v>1868</v>
      </c>
      <c r="G688" t="s">
        <v>1152</v>
      </c>
      <c r="H688" t="s">
        <v>194</v>
      </c>
      <c r="I688">
        <v>177</v>
      </c>
      <c r="J688">
        <v>82</v>
      </c>
      <c r="K688">
        <v>17</v>
      </c>
      <c r="L688" t="s">
        <v>142</v>
      </c>
    </row>
    <row r="689" spans="1:12" x14ac:dyDescent="0.3">
      <c r="A689" t="s">
        <v>20</v>
      </c>
      <c r="B689" t="s">
        <v>1797</v>
      </c>
      <c r="C689">
        <v>12</v>
      </c>
      <c r="D689" t="s">
        <v>137</v>
      </c>
      <c r="E689" t="s">
        <v>1869</v>
      </c>
      <c r="F689" t="s">
        <v>1870</v>
      </c>
      <c r="G689" t="s">
        <v>1871</v>
      </c>
      <c r="H689" t="s">
        <v>1797</v>
      </c>
      <c r="I689">
        <v>196</v>
      </c>
      <c r="J689">
        <v>3</v>
      </c>
      <c r="K689">
        <v>0</v>
      </c>
      <c r="L689" t="s">
        <v>142</v>
      </c>
    </row>
    <row r="690" spans="1:12" x14ac:dyDescent="0.3">
      <c r="A690" t="s">
        <v>20</v>
      </c>
      <c r="B690" t="s">
        <v>1797</v>
      </c>
      <c r="C690">
        <v>13</v>
      </c>
      <c r="D690" t="s">
        <v>143</v>
      </c>
      <c r="E690" t="s">
        <v>1872</v>
      </c>
      <c r="F690" t="s">
        <v>1873</v>
      </c>
      <c r="G690" t="s">
        <v>1874</v>
      </c>
      <c r="H690" t="s">
        <v>315</v>
      </c>
      <c r="I690">
        <v>174</v>
      </c>
      <c r="J690">
        <v>17</v>
      </c>
      <c r="K690">
        <v>1</v>
      </c>
      <c r="L690" t="s">
        <v>142</v>
      </c>
    </row>
    <row r="691" spans="1:12" x14ac:dyDescent="0.3">
      <c r="A691" t="s">
        <v>20</v>
      </c>
      <c r="B691" t="s">
        <v>1797</v>
      </c>
      <c r="C691">
        <v>14</v>
      </c>
      <c r="D691" t="s">
        <v>143</v>
      </c>
      <c r="E691" t="s">
        <v>1875</v>
      </c>
      <c r="F691" t="s">
        <v>1876</v>
      </c>
      <c r="G691" t="s">
        <v>1871</v>
      </c>
      <c r="H691" t="s">
        <v>1797</v>
      </c>
      <c r="I691">
        <v>190</v>
      </c>
      <c r="J691">
        <v>1</v>
      </c>
      <c r="K691">
        <v>0</v>
      </c>
      <c r="L691" t="s">
        <v>142</v>
      </c>
    </row>
    <row r="692" spans="1:12" x14ac:dyDescent="0.3">
      <c r="A692" t="s">
        <v>20</v>
      </c>
      <c r="B692" t="s">
        <v>1797</v>
      </c>
      <c r="C692">
        <v>15</v>
      </c>
      <c r="D692" t="s">
        <v>143</v>
      </c>
      <c r="E692" t="s">
        <v>1877</v>
      </c>
      <c r="F692" t="s">
        <v>1878</v>
      </c>
      <c r="G692" t="s">
        <v>1879</v>
      </c>
      <c r="H692" t="s">
        <v>1797</v>
      </c>
      <c r="I692">
        <v>173</v>
      </c>
      <c r="J692">
        <v>37</v>
      </c>
      <c r="K692">
        <v>0</v>
      </c>
      <c r="L692" t="s">
        <v>142</v>
      </c>
    </row>
    <row r="693" spans="1:12" x14ac:dyDescent="0.3">
      <c r="A693" t="s">
        <v>20</v>
      </c>
      <c r="B693" t="s">
        <v>1797</v>
      </c>
      <c r="C693">
        <v>16</v>
      </c>
      <c r="D693" t="s">
        <v>143</v>
      </c>
      <c r="E693" t="s">
        <v>1880</v>
      </c>
      <c r="F693" t="s">
        <v>1881</v>
      </c>
      <c r="G693" t="s">
        <v>1882</v>
      </c>
      <c r="H693" t="s">
        <v>1883</v>
      </c>
      <c r="I693">
        <v>183</v>
      </c>
      <c r="J693">
        <v>16</v>
      </c>
      <c r="K693">
        <v>1</v>
      </c>
      <c r="L693" t="s">
        <v>142</v>
      </c>
    </row>
    <row r="694" spans="1:12" x14ac:dyDescent="0.3">
      <c r="A694" t="s">
        <v>20</v>
      </c>
      <c r="B694" t="s">
        <v>1797</v>
      </c>
      <c r="C694">
        <v>17</v>
      </c>
      <c r="D694" t="s">
        <v>158</v>
      </c>
      <c r="E694" t="s">
        <v>1884</v>
      </c>
      <c r="F694" t="s">
        <v>1681</v>
      </c>
      <c r="G694" t="s">
        <v>1885</v>
      </c>
      <c r="H694" t="s">
        <v>194</v>
      </c>
      <c r="I694">
        <v>180</v>
      </c>
      <c r="J694">
        <v>13</v>
      </c>
      <c r="K694">
        <v>2</v>
      </c>
      <c r="L694" t="s">
        <v>142</v>
      </c>
    </row>
    <row r="695" spans="1:12" x14ac:dyDescent="0.3">
      <c r="A695" t="s">
        <v>20</v>
      </c>
      <c r="B695" t="s">
        <v>1797</v>
      </c>
      <c r="C695">
        <v>18</v>
      </c>
      <c r="D695" t="s">
        <v>163</v>
      </c>
      <c r="E695" t="s">
        <v>1886</v>
      </c>
      <c r="F695" t="s">
        <v>1887</v>
      </c>
      <c r="G695" t="s">
        <v>993</v>
      </c>
      <c r="H695" t="s">
        <v>523</v>
      </c>
      <c r="I695">
        <v>183</v>
      </c>
      <c r="J695">
        <v>30</v>
      </c>
      <c r="K695">
        <v>7</v>
      </c>
      <c r="L695" t="s">
        <v>142</v>
      </c>
    </row>
    <row r="696" spans="1:12" x14ac:dyDescent="0.3">
      <c r="A696" t="s">
        <v>20</v>
      </c>
      <c r="B696" t="s">
        <v>1797</v>
      </c>
      <c r="C696">
        <v>19</v>
      </c>
      <c r="D696" t="s">
        <v>158</v>
      </c>
      <c r="E696" t="s">
        <v>1888</v>
      </c>
      <c r="F696" t="s">
        <v>1889</v>
      </c>
      <c r="G696" t="s">
        <v>597</v>
      </c>
      <c r="H696" t="s">
        <v>147</v>
      </c>
      <c r="I696">
        <v>174</v>
      </c>
      <c r="J696">
        <v>50</v>
      </c>
      <c r="K696">
        <v>10</v>
      </c>
      <c r="L696" t="s">
        <v>142</v>
      </c>
    </row>
    <row r="697" spans="1:12" x14ac:dyDescent="0.3">
      <c r="A697" t="s">
        <v>20</v>
      </c>
      <c r="B697" t="s">
        <v>1797</v>
      </c>
      <c r="C697">
        <v>20</v>
      </c>
      <c r="D697" t="s">
        <v>158</v>
      </c>
      <c r="E697" t="s">
        <v>1890</v>
      </c>
      <c r="F697" t="s">
        <v>1891</v>
      </c>
      <c r="G697" t="s">
        <v>739</v>
      </c>
      <c r="H697" t="s">
        <v>347</v>
      </c>
      <c r="I697">
        <v>179</v>
      </c>
      <c r="J697">
        <v>10</v>
      </c>
      <c r="K697">
        <v>0</v>
      </c>
      <c r="L697" t="s">
        <v>142</v>
      </c>
    </row>
    <row r="698" spans="1:12" x14ac:dyDescent="0.3">
      <c r="A698" t="s">
        <v>20</v>
      </c>
      <c r="B698" t="s">
        <v>1797</v>
      </c>
      <c r="C698">
        <v>21</v>
      </c>
      <c r="D698" t="s">
        <v>137</v>
      </c>
      <c r="E698" t="s">
        <v>1892</v>
      </c>
      <c r="F698" t="s">
        <v>1893</v>
      </c>
      <c r="G698" t="s">
        <v>1894</v>
      </c>
      <c r="H698" t="s">
        <v>1797</v>
      </c>
      <c r="I698">
        <v>189</v>
      </c>
      <c r="J698">
        <v>48</v>
      </c>
      <c r="K698">
        <v>0</v>
      </c>
      <c r="L698" t="s">
        <v>142</v>
      </c>
    </row>
    <row r="699" spans="1:12" x14ac:dyDescent="0.3">
      <c r="A699" t="s">
        <v>20</v>
      </c>
      <c r="B699" t="s">
        <v>1797</v>
      </c>
      <c r="C699">
        <v>22</v>
      </c>
      <c r="D699" t="s">
        <v>143</v>
      </c>
      <c r="E699" t="s">
        <v>1895</v>
      </c>
      <c r="F699" t="s">
        <v>1622</v>
      </c>
      <c r="G699" t="s">
        <v>399</v>
      </c>
      <c r="H699" t="s">
        <v>400</v>
      </c>
      <c r="I699">
        <v>180</v>
      </c>
      <c r="J699">
        <v>37</v>
      </c>
      <c r="K699">
        <v>0</v>
      </c>
      <c r="L699" t="s">
        <v>142</v>
      </c>
    </row>
    <row r="700" spans="1:12" x14ac:dyDescent="0.3">
      <c r="A700" t="s">
        <v>20</v>
      </c>
      <c r="B700" t="s">
        <v>1797</v>
      </c>
      <c r="C700">
        <v>23</v>
      </c>
      <c r="D700" t="s">
        <v>143</v>
      </c>
      <c r="E700" t="s">
        <v>1896</v>
      </c>
      <c r="F700" t="s">
        <v>1897</v>
      </c>
      <c r="G700" t="s">
        <v>578</v>
      </c>
      <c r="H700" t="s">
        <v>177</v>
      </c>
      <c r="I700">
        <v>178</v>
      </c>
      <c r="J700">
        <v>8</v>
      </c>
      <c r="K700">
        <v>0</v>
      </c>
      <c r="L700" t="s">
        <v>142</v>
      </c>
    </row>
    <row r="701" spans="1:12" x14ac:dyDescent="0.3">
      <c r="A701" t="s">
        <v>20</v>
      </c>
      <c r="B701" t="s">
        <v>1797</v>
      </c>
      <c r="C701">
        <v>24</v>
      </c>
      <c r="D701" t="s">
        <v>158</v>
      </c>
      <c r="E701" t="s">
        <v>1898</v>
      </c>
      <c r="F701" t="s">
        <v>1805</v>
      </c>
      <c r="G701" t="s">
        <v>1871</v>
      </c>
      <c r="H701" t="s">
        <v>1797</v>
      </c>
      <c r="I701">
        <v>177</v>
      </c>
      <c r="J701">
        <v>24</v>
      </c>
      <c r="K701">
        <v>3</v>
      </c>
      <c r="L701" t="s">
        <v>142</v>
      </c>
    </row>
    <row r="702" spans="1:12" x14ac:dyDescent="0.3">
      <c r="A702" t="s">
        <v>20</v>
      </c>
      <c r="B702" t="s">
        <v>1797</v>
      </c>
      <c r="C702">
        <v>25</v>
      </c>
      <c r="D702" t="s">
        <v>158</v>
      </c>
      <c r="E702" t="s">
        <v>1899</v>
      </c>
      <c r="F702" t="s">
        <v>1900</v>
      </c>
      <c r="G702" t="s">
        <v>365</v>
      </c>
      <c r="H702" t="s">
        <v>366</v>
      </c>
      <c r="I702">
        <v>177</v>
      </c>
      <c r="J702">
        <v>11</v>
      </c>
      <c r="K702">
        <v>2</v>
      </c>
      <c r="L702" t="s">
        <v>142</v>
      </c>
    </row>
    <row r="703" spans="1:12" x14ac:dyDescent="0.3">
      <c r="A703" t="s">
        <v>20</v>
      </c>
      <c r="B703" t="s">
        <v>1797</v>
      </c>
      <c r="C703">
        <v>26</v>
      </c>
      <c r="D703" t="s">
        <v>158</v>
      </c>
      <c r="E703" t="s">
        <v>1901</v>
      </c>
      <c r="F703" t="s">
        <v>1902</v>
      </c>
      <c r="G703" t="s">
        <v>1894</v>
      </c>
      <c r="H703" t="s">
        <v>1797</v>
      </c>
      <c r="I703">
        <v>175</v>
      </c>
      <c r="J703">
        <v>18</v>
      </c>
      <c r="K703">
        <v>4</v>
      </c>
      <c r="L703" t="s">
        <v>142</v>
      </c>
    </row>
    <row r="704" spans="1:12" x14ac:dyDescent="0.3">
      <c r="A704" t="s">
        <v>15</v>
      </c>
      <c r="B704" t="s">
        <v>831</v>
      </c>
      <c r="C704">
        <v>1</v>
      </c>
      <c r="D704" t="s">
        <v>137</v>
      </c>
      <c r="E704" t="s">
        <v>1903</v>
      </c>
      <c r="F704" t="s">
        <v>1904</v>
      </c>
      <c r="G704" t="s">
        <v>1905</v>
      </c>
      <c r="H704" t="s">
        <v>831</v>
      </c>
      <c r="I704">
        <v>190</v>
      </c>
      <c r="J704">
        <v>19</v>
      </c>
      <c r="K704">
        <v>0</v>
      </c>
      <c r="L704" t="s">
        <v>142</v>
      </c>
    </row>
    <row r="705" spans="1:12" x14ac:dyDescent="0.3">
      <c r="A705" t="s">
        <v>15</v>
      </c>
      <c r="B705" t="s">
        <v>831</v>
      </c>
      <c r="C705">
        <v>2</v>
      </c>
      <c r="D705" t="s">
        <v>143</v>
      </c>
      <c r="E705" t="s">
        <v>1906</v>
      </c>
      <c r="F705" t="s">
        <v>1907</v>
      </c>
      <c r="G705" t="s">
        <v>1507</v>
      </c>
      <c r="H705" t="s">
        <v>886</v>
      </c>
      <c r="I705">
        <v>176</v>
      </c>
      <c r="J705">
        <v>63</v>
      </c>
      <c r="K705">
        <v>3</v>
      </c>
      <c r="L705" t="s">
        <v>142</v>
      </c>
    </row>
    <row r="706" spans="1:12" x14ac:dyDescent="0.3">
      <c r="A706" t="s">
        <v>15</v>
      </c>
      <c r="B706" t="s">
        <v>831</v>
      </c>
      <c r="C706">
        <v>3</v>
      </c>
      <c r="D706" t="s">
        <v>143</v>
      </c>
      <c r="E706" t="s">
        <v>1908</v>
      </c>
      <c r="F706" t="s">
        <v>1805</v>
      </c>
      <c r="G706" t="s">
        <v>1909</v>
      </c>
      <c r="H706" t="s">
        <v>629</v>
      </c>
      <c r="I706">
        <v>191</v>
      </c>
      <c r="J706">
        <v>72</v>
      </c>
      <c r="K706">
        <v>4</v>
      </c>
      <c r="L706" t="s">
        <v>142</v>
      </c>
    </row>
    <row r="707" spans="1:12" x14ac:dyDescent="0.3">
      <c r="A707" t="s">
        <v>15</v>
      </c>
      <c r="B707" t="s">
        <v>831</v>
      </c>
      <c r="C707">
        <v>4</v>
      </c>
      <c r="D707" t="s">
        <v>143</v>
      </c>
      <c r="E707" t="s">
        <v>1910</v>
      </c>
      <c r="F707" t="s">
        <v>1911</v>
      </c>
      <c r="G707" t="s">
        <v>645</v>
      </c>
      <c r="H707" t="s">
        <v>523</v>
      </c>
      <c r="I707">
        <v>180</v>
      </c>
      <c r="J707">
        <v>103</v>
      </c>
      <c r="K707">
        <v>7</v>
      </c>
      <c r="L707" t="s">
        <v>142</v>
      </c>
    </row>
    <row r="708" spans="1:12" x14ac:dyDescent="0.3">
      <c r="A708" t="s">
        <v>15</v>
      </c>
      <c r="B708" t="s">
        <v>831</v>
      </c>
      <c r="C708">
        <v>5</v>
      </c>
      <c r="D708" t="s">
        <v>143</v>
      </c>
      <c r="E708" t="s">
        <v>1912</v>
      </c>
      <c r="F708" t="s">
        <v>358</v>
      </c>
      <c r="G708" t="s">
        <v>1913</v>
      </c>
      <c r="H708" t="s">
        <v>200</v>
      </c>
      <c r="I708">
        <v>182</v>
      </c>
      <c r="J708">
        <v>50</v>
      </c>
      <c r="K708">
        <v>3</v>
      </c>
      <c r="L708" t="s">
        <v>142</v>
      </c>
    </row>
    <row r="709" spans="1:12" x14ac:dyDescent="0.3">
      <c r="A709" t="s">
        <v>15</v>
      </c>
      <c r="B709" t="s">
        <v>831</v>
      </c>
      <c r="C709">
        <v>6</v>
      </c>
      <c r="D709" t="s">
        <v>158</v>
      </c>
      <c r="E709" t="s">
        <v>1914</v>
      </c>
      <c r="F709" t="s">
        <v>1915</v>
      </c>
      <c r="G709" t="s">
        <v>848</v>
      </c>
      <c r="H709" t="s">
        <v>831</v>
      </c>
      <c r="I709">
        <v>172</v>
      </c>
      <c r="J709">
        <v>29</v>
      </c>
      <c r="K709">
        <v>0</v>
      </c>
      <c r="L709" t="s">
        <v>142</v>
      </c>
    </row>
    <row r="710" spans="1:12" x14ac:dyDescent="0.3">
      <c r="A710" t="s">
        <v>15</v>
      </c>
      <c r="B710" t="s">
        <v>831</v>
      </c>
      <c r="C710">
        <v>7</v>
      </c>
      <c r="D710" t="s">
        <v>158</v>
      </c>
      <c r="E710" t="s">
        <v>1916</v>
      </c>
      <c r="F710" t="s">
        <v>1917</v>
      </c>
      <c r="G710" t="s">
        <v>1905</v>
      </c>
      <c r="H710" t="s">
        <v>831</v>
      </c>
      <c r="I710">
        <v>183</v>
      </c>
      <c r="J710">
        <v>66</v>
      </c>
      <c r="K710">
        <v>5</v>
      </c>
      <c r="L710" t="s">
        <v>142</v>
      </c>
    </row>
    <row r="711" spans="1:12" x14ac:dyDescent="0.3">
      <c r="A711" t="s">
        <v>15</v>
      </c>
      <c r="B711" t="s">
        <v>831</v>
      </c>
      <c r="C711">
        <v>8</v>
      </c>
      <c r="D711" t="s">
        <v>158</v>
      </c>
      <c r="E711" t="s">
        <v>1918</v>
      </c>
      <c r="F711" t="s">
        <v>1919</v>
      </c>
      <c r="G711" t="s">
        <v>261</v>
      </c>
      <c r="H711" t="s">
        <v>219</v>
      </c>
      <c r="I711">
        <v>175</v>
      </c>
      <c r="J711">
        <v>7</v>
      </c>
      <c r="K711">
        <v>1</v>
      </c>
      <c r="L711" t="s">
        <v>142</v>
      </c>
    </row>
    <row r="712" spans="1:12" x14ac:dyDescent="0.3">
      <c r="A712" t="s">
        <v>15</v>
      </c>
      <c r="B712" t="s">
        <v>831</v>
      </c>
      <c r="C712">
        <v>9</v>
      </c>
      <c r="D712" t="s">
        <v>163</v>
      </c>
      <c r="E712" t="s">
        <v>1920</v>
      </c>
      <c r="F712" t="s">
        <v>1921</v>
      </c>
      <c r="G712" t="s">
        <v>504</v>
      </c>
      <c r="H712" t="s">
        <v>194</v>
      </c>
      <c r="I712">
        <v>188</v>
      </c>
      <c r="J712">
        <v>130</v>
      </c>
      <c r="K712">
        <v>48</v>
      </c>
      <c r="L712" t="s">
        <v>142</v>
      </c>
    </row>
    <row r="713" spans="1:12" x14ac:dyDescent="0.3">
      <c r="A713" t="s">
        <v>15</v>
      </c>
      <c r="B713" t="s">
        <v>831</v>
      </c>
      <c r="C713">
        <v>10</v>
      </c>
      <c r="D713" t="s">
        <v>163</v>
      </c>
      <c r="E713" t="s">
        <v>1922</v>
      </c>
      <c r="F713" t="s">
        <v>766</v>
      </c>
      <c r="G713" t="s">
        <v>1923</v>
      </c>
      <c r="H713" t="s">
        <v>831</v>
      </c>
      <c r="I713">
        <v>175</v>
      </c>
      <c r="J713">
        <v>53</v>
      </c>
      <c r="K713">
        <v>7</v>
      </c>
      <c r="L713" t="s">
        <v>142</v>
      </c>
    </row>
    <row r="714" spans="1:12" x14ac:dyDescent="0.3">
      <c r="A714" t="s">
        <v>15</v>
      </c>
      <c r="B714" t="s">
        <v>831</v>
      </c>
      <c r="C714">
        <v>11</v>
      </c>
      <c r="D714" t="s">
        <v>163</v>
      </c>
      <c r="E714" t="s">
        <v>1924</v>
      </c>
      <c r="F714" t="s">
        <v>1925</v>
      </c>
      <c r="G714" t="s">
        <v>492</v>
      </c>
      <c r="H714" t="s">
        <v>200</v>
      </c>
      <c r="I714">
        <v>180</v>
      </c>
      <c r="J714">
        <v>51</v>
      </c>
      <c r="K714">
        <v>6</v>
      </c>
      <c r="L714" t="s">
        <v>142</v>
      </c>
    </row>
    <row r="715" spans="1:12" x14ac:dyDescent="0.3">
      <c r="A715" t="s">
        <v>15</v>
      </c>
      <c r="B715" t="s">
        <v>831</v>
      </c>
      <c r="C715">
        <v>12</v>
      </c>
      <c r="D715" t="s">
        <v>137</v>
      </c>
      <c r="E715" t="s">
        <v>1926</v>
      </c>
      <c r="F715" t="s">
        <v>1927</v>
      </c>
      <c r="G715" t="s">
        <v>1928</v>
      </c>
      <c r="H715" t="s">
        <v>831</v>
      </c>
      <c r="I715">
        <v>185</v>
      </c>
      <c r="J715">
        <v>7</v>
      </c>
      <c r="K715">
        <v>0</v>
      </c>
      <c r="L715" t="s">
        <v>142</v>
      </c>
    </row>
    <row r="716" spans="1:12" x14ac:dyDescent="0.3">
      <c r="A716" t="s">
        <v>15</v>
      </c>
      <c r="B716" t="s">
        <v>831</v>
      </c>
      <c r="C716">
        <v>13</v>
      </c>
      <c r="D716" t="s">
        <v>137</v>
      </c>
      <c r="E716" t="s">
        <v>1929</v>
      </c>
      <c r="F716" t="s">
        <v>1930</v>
      </c>
      <c r="G716" t="s">
        <v>1931</v>
      </c>
      <c r="H716" t="s">
        <v>308</v>
      </c>
      <c r="I716">
        <v>185</v>
      </c>
      <c r="J716">
        <v>154</v>
      </c>
      <c r="K716">
        <v>0</v>
      </c>
      <c r="L716" t="s">
        <v>142</v>
      </c>
    </row>
    <row r="717" spans="1:12" x14ac:dyDescent="0.3">
      <c r="A717" t="s">
        <v>15</v>
      </c>
      <c r="B717" t="s">
        <v>831</v>
      </c>
      <c r="C717">
        <v>14</v>
      </c>
      <c r="D717" t="s">
        <v>163</v>
      </c>
      <c r="E717" t="s">
        <v>1932</v>
      </c>
      <c r="F717" t="s">
        <v>1933</v>
      </c>
      <c r="G717" t="s">
        <v>1905</v>
      </c>
      <c r="H717" t="s">
        <v>831</v>
      </c>
      <c r="I717">
        <v>182</v>
      </c>
      <c r="J717">
        <v>8</v>
      </c>
      <c r="K717">
        <v>1</v>
      </c>
      <c r="L717" t="s">
        <v>142</v>
      </c>
    </row>
    <row r="718" spans="1:12" x14ac:dyDescent="0.3">
      <c r="A718" t="s">
        <v>15</v>
      </c>
      <c r="B718" t="s">
        <v>831</v>
      </c>
      <c r="C718">
        <v>15</v>
      </c>
      <c r="D718" t="s">
        <v>143</v>
      </c>
      <c r="E718" t="s">
        <v>1934</v>
      </c>
      <c r="F718" t="s">
        <v>1935</v>
      </c>
      <c r="G718" t="s">
        <v>1936</v>
      </c>
      <c r="H718" t="s">
        <v>831</v>
      </c>
      <c r="I718">
        <v>181</v>
      </c>
      <c r="J718">
        <v>38</v>
      </c>
      <c r="K718">
        <v>2</v>
      </c>
      <c r="L718" t="s">
        <v>142</v>
      </c>
    </row>
    <row r="719" spans="1:12" x14ac:dyDescent="0.3">
      <c r="A719" t="s">
        <v>15</v>
      </c>
      <c r="B719" t="s">
        <v>831</v>
      </c>
      <c r="C719">
        <v>16</v>
      </c>
      <c r="D719" t="s">
        <v>163</v>
      </c>
      <c r="E719" t="s">
        <v>1937</v>
      </c>
      <c r="F719" t="s">
        <v>1938</v>
      </c>
      <c r="G719" t="s">
        <v>1496</v>
      </c>
      <c r="H719" t="s">
        <v>167</v>
      </c>
      <c r="I719">
        <v>177</v>
      </c>
      <c r="J719">
        <v>27</v>
      </c>
      <c r="K719">
        <v>6</v>
      </c>
      <c r="L719" t="s">
        <v>142</v>
      </c>
    </row>
    <row r="720" spans="1:12" x14ac:dyDescent="0.3">
      <c r="A720" t="s">
        <v>15</v>
      </c>
      <c r="B720" t="s">
        <v>831</v>
      </c>
      <c r="C720">
        <v>17</v>
      </c>
      <c r="D720" t="s">
        <v>158</v>
      </c>
      <c r="E720" t="s">
        <v>1939</v>
      </c>
      <c r="F720" t="s">
        <v>1940</v>
      </c>
      <c r="G720" t="s">
        <v>1941</v>
      </c>
      <c r="H720" t="s">
        <v>886</v>
      </c>
      <c r="I720">
        <v>169</v>
      </c>
      <c r="J720">
        <v>94</v>
      </c>
      <c r="K720">
        <v>12</v>
      </c>
      <c r="L720" t="s">
        <v>142</v>
      </c>
    </row>
    <row r="721" spans="1:12" x14ac:dyDescent="0.3">
      <c r="A721" t="s">
        <v>15</v>
      </c>
      <c r="B721" t="s">
        <v>831</v>
      </c>
      <c r="C721">
        <v>18</v>
      </c>
      <c r="D721" t="s">
        <v>158</v>
      </c>
      <c r="E721" t="s">
        <v>1942</v>
      </c>
      <c r="F721" t="s">
        <v>1943</v>
      </c>
      <c r="G721" t="s">
        <v>233</v>
      </c>
      <c r="H721" t="s">
        <v>219</v>
      </c>
      <c r="I721">
        <v>175</v>
      </c>
      <c r="J721">
        <v>9</v>
      </c>
      <c r="K721">
        <v>0</v>
      </c>
      <c r="L721" t="s">
        <v>142</v>
      </c>
    </row>
    <row r="722" spans="1:12" x14ac:dyDescent="0.3">
      <c r="A722" t="s">
        <v>15</v>
      </c>
      <c r="B722" t="s">
        <v>831</v>
      </c>
      <c r="C722">
        <v>19</v>
      </c>
      <c r="D722" t="s">
        <v>158</v>
      </c>
      <c r="E722" t="s">
        <v>1944</v>
      </c>
      <c r="F722" t="s">
        <v>1945</v>
      </c>
      <c r="G722" t="s">
        <v>1251</v>
      </c>
      <c r="H722" t="s">
        <v>831</v>
      </c>
      <c r="I722">
        <v>175</v>
      </c>
      <c r="J722">
        <v>12</v>
      </c>
      <c r="K722">
        <v>0</v>
      </c>
      <c r="L722" t="s">
        <v>142</v>
      </c>
    </row>
    <row r="723" spans="1:12" x14ac:dyDescent="0.3">
      <c r="A723" t="s">
        <v>15</v>
      </c>
      <c r="B723" t="s">
        <v>831</v>
      </c>
      <c r="C723">
        <v>20</v>
      </c>
      <c r="D723" t="s">
        <v>143</v>
      </c>
      <c r="E723" t="s">
        <v>1946</v>
      </c>
      <c r="F723" t="s">
        <v>1947</v>
      </c>
      <c r="G723" t="s">
        <v>1948</v>
      </c>
      <c r="H723" t="s">
        <v>162</v>
      </c>
      <c r="I723">
        <v>178</v>
      </c>
      <c r="J723">
        <v>11</v>
      </c>
      <c r="K723">
        <v>1</v>
      </c>
      <c r="L723" t="s">
        <v>142</v>
      </c>
    </row>
    <row r="724" spans="1:12" x14ac:dyDescent="0.3">
      <c r="A724" t="s">
        <v>15</v>
      </c>
      <c r="B724" t="s">
        <v>831</v>
      </c>
      <c r="C724">
        <v>21</v>
      </c>
      <c r="D724" t="s">
        <v>163</v>
      </c>
      <c r="E724" t="s">
        <v>1949</v>
      </c>
      <c r="F724" t="s">
        <v>1950</v>
      </c>
      <c r="G724" t="s">
        <v>796</v>
      </c>
      <c r="H724" t="s">
        <v>223</v>
      </c>
      <c r="I724">
        <v>171</v>
      </c>
      <c r="J724">
        <v>27</v>
      </c>
      <c r="K724">
        <v>3</v>
      </c>
      <c r="L724" t="s">
        <v>142</v>
      </c>
    </row>
    <row r="725" spans="1:12" x14ac:dyDescent="0.3">
      <c r="A725" t="s">
        <v>15</v>
      </c>
      <c r="B725" t="s">
        <v>831</v>
      </c>
      <c r="C725">
        <v>22</v>
      </c>
      <c r="D725" t="s">
        <v>163</v>
      </c>
      <c r="E725" t="s">
        <v>1951</v>
      </c>
      <c r="F725" t="s">
        <v>1952</v>
      </c>
      <c r="G725" t="s">
        <v>1229</v>
      </c>
      <c r="H725" t="s">
        <v>831</v>
      </c>
      <c r="I725">
        <v>191</v>
      </c>
      <c r="J725">
        <v>14</v>
      </c>
      <c r="K725">
        <v>3</v>
      </c>
      <c r="L725" t="s">
        <v>142</v>
      </c>
    </row>
    <row r="726" spans="1:12" x14ac:dyDescent="0.3">
      <c r="A726" t="s">
        <v>15</v>
      </c>
      <c r="B726" t="s">
        <v>831</v>
      </c>
      <c r="C726">
        <v>23</v>
      </c>
      <c r="D726" t="s">
        <v>143</v>
      </c>
      <c r="E726" t="s">
        <v>1953</v>
      </c>
      <c r="F726" t="s">
        <v>1954</v>
      </c>
      <c r="G726" t="s">
        <v>1923</v>
      </c>
      <c r="H726" t="s">
        <v>831</v>
      </c>
      <c r="I726">
        <v>174</v>
      </c>
      <c r="J726">
        <v>127</v>
      </c>
      <c r="K726">
        <v>3</v>
      </c>
      <c r="L726" t="s">
        <v>142</v>
      </c>
    </row>
    <row r="727" spans="1:12" x14ac:dyDescent="0.3">
      <c r="A727" t="s">
        <v>15</v>
      </c>
      <c r="B727" t="s">
        <v>831</v>
      </c>
      <c r="C727">
        <v>24</v>
      </c>
      <c r="D727" t="s">
        <v>158</v>
      </c>
      <c r="E727" t="s">
        <v>1955</v>
      </c>
      <c r="F727" t="s">
        <v>1956</v>
      </c>
      <c r="G727" t="s">
        <v>1957</v>
      </c>
      <c r="H727" t="s">
        <v>629</v>
      </c>
      <c r="I727">
        <v>178</v>
      </c>
      <c r="J727">
        <v>46</v>
      </c>
      <c r="K727">
        <v>5</v>
      </c>
      <c r="L727" t="s">
        <v>142</v>
      </c>
    </row>
    <row r="728" spans="1:12" x14ac:dyDescent="0.3">
      <c r="A728" t="s">
        <v>15</v>
      </c>
      <c r="B728" t="s">
        <v>831</v>
      </c>
      <c r="C728">
        <v>25</v>
      </c>
      <c r="D728" t="s">
        <v>163</v>
      </c>
      <c r="E728" t="s">
        <v>1958</v>
      </c>
      <c r="F728" t="s">
        <v>1959</v>
      </c>
      <c r="G728" t="s">
        <v>1905</v>
      </c>
      <c r="H728" t="s">
        <v>831</v>
      </c>
      <c r="I728">
        <v>176</v>
      </c>
      <c r="J728">
        <v>73</v>
      </c>
      <c r="K728">
        <v>5</v>
      </c>
      <c r="L728" t="s">
        <v>142</v>
      </c>
    </row>
    <row r="729" spans="1:12" x14ac:dyDescent="0.3">
      <c r="A729" t="s">
        <v>15</v>
      </c>
      <c r="B729" t="s">
        <v>831</v>
      </c>
      <c r="C729">
        <v>26</v>
      </c>
      <c r="D729" t="s">
        <v>158</v>
      </c>
      <c r="E729" t="s">
        <v>1960</v>
      </c>
      <c r="F729" t="s">
        <v>1961</v>
      </c>
      <c r="G729" t="s">
        <v>1905</v>
      </c>
      <c r="H729" t="s">
        <v>831</v>
      </c>
      <c r="I729">
        <v>178</v>
      </c>
      <c r="J729">
        <v>11</v>
      </c>
      <c r="K729">
        <v>2</v>
      </c>
      <c r="L729" t="s">
        <v>142</v>
      </c>
    </row>
    <row r="730" spans="1:12" x14ac:dyDescent="0.3">
      <c r="A730" t="s">
        <v>30</v>
      </c>
      <c r="B730" t="s">
        <v>1803</v>
      </c>
      <c r="C730">
        <v>1</v>
      </c>
      <c r="D730" t="s">
        <v>137</v>
      </c>
      <c r="E730" t="s">
        <v>1962</v>
      </c>
      <c r="F730" t="s">
        <v>1963</v>
      </c>
      <c r="G730" t="s">
        <v>1400</v>
      </c>
      <c r="H730" t="s">
        <v>167</v>
      </c>
      <c r="I730">
        <v>192</v>
      </c>
      <c r="J730">
        <v>96</v>
      </c>
      <c r="K730">
        <v>0</v>
      </c>
      <c r="L730" t="s">
        <v>142</v>
      </c>
    </row>
    <row r="731" spans="1:12" x14ac:dyDescent="0.3">
      <c r="A731" t="s">
        <v>30</v>
      </c>
      <c r="B731" t="s">
        <v>1803</v>
      </c>
      <c r="C731">
        <v>2</v>
      </c>
      <c r="D731" t="s">
        <v>143</v>
      </c>
      <c r="E731" t="s">
        <v>1964</v>
      </c>
      <c r="F731" t="s">
        <v>1965</v>
      </c>
      <c r="G731" t="s">
        <v>597</v>
      </c>
      <c r="H731" t="s">
        <v>147</v>
      </c>
      <c r="I731">
        <v>180</v>
      </c>
      <c r="J731">
        <v>102</v>
      </c>
      <c r="K731">
        <v>12</v>
      </c>
      <c r="L731" t="s">
        <v>142</v>
      </c>
    </row>
    <row r="732" spans="1:12" x14ac:dyDescent="0.3">
      <c r="A732" t="s">
        <v>30</v>
      </c>
      <c r="B732" t="s">
        <v>1803</v>
      </c>
      <c r="C732">
        <v>3</v>
      </c>
      <c r="D732" t="s">
        <v>143</v>
      </c>
      <c r="E732" t="s">
        <v>1966</v>
      </c>
      <c r="F732" t="s">
        <v>881</v>
      </c>
      <c r="G732" t="s">
        <v>248</v>
      </c>
      <c r="H732" t="s">
        <v>194</v>
      </c>
      <c r="I732">
        <v>183</v>
      </c>
      <c r="J732">
        <v>51</v>
      </c>
      <c r="K732">
        <v>2</v>
      </c>
      <c r="L732" t="s">
        <v>142</v>
      </c>
    </row>
    <row r="733" spans="1:12" x14ac:dyDescent="0.3">
      <c r="A733" t="s">
        <v>30</v>
      </c>
      <c r="B733" t="s">
        <v>1803</v>
      </c>
      <c r="C733">
        <v>4</v>
      </c>
      <c r="D733" t="s">
        <v>158</v>
      </c>
      <c r="E733" t="s">
        <v>1967</v>
      </c>
      <c r="F733" t="s">
        <v>1968</v>
      </c>
      <c r="G733" t="s">
        <v>261</v>
      </c>
      <c r="H733" t="s">
        <v>219</v>
      </c>
      <c r="I733">
        <v>185</v>
      </c>
      <c r="J733">
        <v>78</v>
      </c>
      <c r="K733">
        <v>0</v>
      </c>
      <c r="L733" t="s">
        <v>142</v>
      </c>
    </row>
    <row r="734" spans="1:12" x14ac:dyDescent="0.3">
      <c r="A734" t="s">
        <v>30</v>
      </c>
      <c r="B734" t="s">
        <v>1803</v>
      </c>
      <c r="C734">
        <v>5</v>
      </c>
      <c r="D734" t="s">
        <v>143</v>
      </c>
      <c r="E734" t="s">
        <v>1969</v>
      </c>
      <c r="F734" t="s">
        <v>1824</v>
      </c>
      <c r="G734" t="s">
        <v>1970</v>
      </c>
      <c r="H734" t="s">
        <v>167</v>
      </c>
      <c r="I734">
        <v>185</v>
      </c>
      <c r="J734">
        <v>18</v>
      </c>
      <c r="K734">
        <v>1</v>
      </c>
      <c r="L734" t="s">
        <v>142</v>
      </c>
    </row>
    <row r="735" spans="1:12" x14ac:dyDescent="0.3">
      <c r="A735" t="s">
        <v>30</v>
      </c>
      <c r="B735" t="s">
        <v>1803</v>
      </c>
      <c r="C735">
        <v>6</v>
      </c>
      <c r="D735" t="s">
        <v>158</v>
      </c>
      <c r="E735" t="s">
        <v>1971</v>
      </c>
      <c r="F735" t="s">
        <v>1972</v>
      </c>
      <c r="G735" t="s">
        <v>146</v>
      </c>
      <c r="H735" t="s">
        <v>147</v>
      </c>
      <c r="I735">
        <v>185</v>
      </c>
      <c r="J735">
        <v>8</v>
      </c>
      <c r="K735">
        <v>0</v>
      </c>
      <c r="L735" t="s">
        <v>142</v>
      </c>
    </row>
    <row r="736" spans="1:12" x14ac:dyDescent="0.3">
      <c r="A736" t="s">
        <v>30</v>
      </c>
      <c r="B736" t="s">
        <v>1803</v>
      </c>
      <c r="C736">
        <v>7</v>
      </c>
      <c r="D736" t="s">
        <v>158</v>
      </c>
      <c r="E736" t="s">
        <v>1973</v>
      </c>
      <c r="F736" t="s">
        <v>1974</v>
      </c>
      <c r="G736" t="s">
        <v>910</v>
      </c>
      <c r="H736" t="s">
        <v>194</v>
      </c>
      <c r="I736">
        <v>175</v>
      </c>
      <c r="J736">
        <v>10</v>
      </c>
      <c r="K736">
        <v>0</v>
      </c>
      <c r="L736" t="s">
        <v>142</v>
      </c>
    </row>
    <row r="737" spans="1:12" x14ac:dyDescent="0.3">
      <c r="A737" t="s">
        <v>30</v>
      </c>
      <c r="B737" t="s">
        <v>1803</v>
      </c>
      <c r="C737">
        <v>8</v>
      </c>
      <c r="D737" t="s">
        <v>158</v>
      </c>
      <c r="E737" t="s">
        <v>1975</v>
      </c>
      <c r="F737" t="s">
        <v>1976</v>
      </c>
      <c r="G737" t="s">
        <v>469</v>
      </c>
      <c r="H737" t="s">
        <v>219</v>
      </c>
      <c r="I737">
        <v>182</v>
      </c>
      <c r="J737">
        <v>55</v>
      </c>
      <c r="K737">
        <v>11</v>
      </c>
      <c r="L737" t="s">
        <v>142</v>
      </c>
    </row>
    <row r="738" spans="1:12" x14ac:dyDescent="0.3">
      <c r="A738" t="s">
        <v>30</v>
      </c>
      <c r="B738" t="s">
        <v>1803</v>
      </c>
      <c r="C738">
        <v>9</v>
      </c>
      <c r="D738" t="s">
        <v>163</v>
      </c>
      <c r="E738" t="s">
        <v>1977</v>
      </c>
      <c r="F738" t="s">
        <v>1978</v>
      </c>
      <c r="G738" t="s">
        <v>1266</v>
      </c>
      <c r="H738" t="s">
        <v>663</v>
      </c>
      <c r="I738">
        <v>180</v>
      </c>
      <c r="J738">
        <v>43</v>
      </c>
      <c r="K738">
        <v>14</v>
      </c>
      <c r="L738" t="s">
        <v>142</v>
      </c>
    </row>
    <row r="739" spans="1:12" x14ac:dyDescent="0.3">
      <c r="A739" t="s">
        <v>30</v>
      </c>
      <c r="B739" t="s">
        <v>1803</v>
      </c>
      <c r="C739">
        <v>10</v>
      </c>
      <c r="D739" t="s">
        <v>163</v>
      </c>
      <c r="E739" t="s">
        <v>1979</v>
      </c>
      <c r="F739" t="s">
        <v>1980</v>
      </c>
      <c r="G739" t="s">
        <v>403</v>
      </c>
      <c r="H739" t="s">
        <v>219</v>
      </c>
      <c r="I739">
        <v>170</v>
      </c>
      <c r="J739">
        <v>32</v>
      </c>
      <c r="K739">
        <v>14</v>
      </c>
      <c r="L739" t="s">
        <v>142</v>
      </c>
    </row>
    <row r="740" spans="1:12" x14ac:dyDescent="0.3">
      <c r="A740" t="s">
        <v>30</v>
      </c>
      <c r="B740" t="s">
        <v>1803</v>
      </c>
      <c r="C740">
        <v>11</v>
      </c>
      <c r="D740" t="s">
        <v>158</v>
      </c>
      <c r="E740" t="s">
        <v>1981</v>
      </c>
      <c r="F740" t="s">
        <v>1526</v>
      </c>
      <c r="G740" t="s">
        <v>447</v>
      </c>
      <c r="H740" t="s">
        <v>162</v>
      </c>
      <c r="I740">
        <v>185</v>
      </c>
      <c r="J740">
        <v>35</v>
      </c>
      <c r="K740">
        <v>12</v>
      </c>
      <c r="L740" t="s">
        <v>142</v>
      </c>
    </row>
    <row r="741" spans="1:12" x14ac:dyDescent="0.3">
      <c r="A741" t="s">
        <v>30</v>
      </c>
      <c r="B741" t="s">
        <v>1803</v>
      </c>
      <c r="C741">
        <v>12</v>
      </c>
      <c r="D741" t="s">
        <v>137</v>
      </c>
      <c r="E741" t="s">
        <v>1982</v>
      </c>
      <c r="F741" t="s">
        <v>1983</v>
      </c>
      <c r="G741" t="s">
        <v>1984</v>
      </c>
      <c r="H741" t="s">
        <v>1803</v>
      </c>
      <c r="I741">
        <v>190</v>
      </c>
      <c r="J741">
        <v>52</v>
      </c>
      <c r="K741">
        <v>0</v>
      </c>
      <c r="L741" t="s">
        <v>142</v>
      </c>
    </row>
    <row r="742" spans="1:12" x14ac:dyDescent="0.3">
      <c r="A742" t="s">
        <v>30</v>
      </c>
      <c r="B742" t="s">
        <v>1803</v>
      </c>
      <c r="C742">
        <v>13</v>
      </c>
      <c r="D742" t="s">
        <v>143</v>
      </c>
      <c r="E742" t="s">
        <v>1985</v>
      </c>
      <c r="F742" t="s">
        <v>1986</v>
      </c>
      <c r="G742" t="s">
        <v>904</v>
      </c>
      <c r="H742" t="s">
        <v>223</v>
      </c>
      <c r="I742">
        <v>171</v>
      </c>
      <c r="J742">
        <v>4</v>
      </c>
      <c r="K742">
        <v>0</v>
      </c>
      <c r="L742" t="s">
        <v>142</v>
      </c>
    </row>
    <row r="743" spans="1:12" x14ac:dyDescent="0.3">
      <c r="A743" t="s">
        <v>30</v>
      </c>
      <c r="B743" t="s">
        <v>1803</v>
      </c>
      <c r="C743">
        <v>14</v>
      </c>
      <c r="D743" t="s">
        <v>143</v>
      </c>
      <c r="E743" t="s">
        <v>1987</v>
      </c>
      <c r="F743" t="s">
        <v>1654</v>
      </c>
      <c r="G743" t="s">
        <v>504</v>
      </c>
      <c r="H743" t="s">
        <v>194</v>
      </c>
      <c r="I743">
        <v>194</v>
      </c>
      <c r="J743">
        <v>9</v>
      </c>
      <c r="K743">
        <v>1</v>
      </c>
      <c r="L743" t="s">
        <v>142</v>
      </c>
    </row>
    <row r="744" spans="1:12" x14ac:dyDescent="0.3">
      <c r="A744" t="s">
        <v>30</v>
      </c>
      <c r="B744" t="s">
        <v>1803</v>
      </c>
      <c r="C744">
        <v>15</v>
      </c>
      <c r="D744" t="s">
        <v>158</v>
      </c>
      <c r="E744" t="s">
        <v>1988</v>
      </c>
      <c r="F744" t="s">
        <v>1989</v>
      </c>
      <c r="G744" t="s">
        <v>254</v>
      </c>
      <c r="H744" t="s">
        <v>147</v>
      </c>
      <c r="I744">
        <v>187</v>
      </c>
      <c r="J744">
        <v>9</v>
      </c>
      <c r="K744">
        <v>0</v>
      </c>
      <c r="L744" t="s">
        <v>142</v>
      </c>
    </row>
    <row r="745" spans="1:12" x14ac:dyDescent="0.3">
      <c r="A745" t="s">
        <v>30</v>
      </c>
      <c r="B745" t="s">
        <v>1803</v>
      </c>
      <c r="C745">
        <v>16</v>
      </c>
      <c r="D745" t="s">
        <v>158</v>
      </c>
      <c r="E745" t="s">
        <v>1990</v>
      </c>
      <c r="F745" t="s">
        <v>1813</v>
      </c>
      <c r="G745" t="s">
        <v>254</v>
      </c>
      <c r="H745" t="s">
        <v>147</v>
      </c>
      <c r="I745">
        <v>172</v>
      </c>
      <c r="J745">
        <v>7</v>
      </c>
      <c r="K745">
        <v>1</v>
      </c>
      <c r="L745" t="s">
        <v>142</v>
      </c>
    </row>
    <row r="746" spans="1:12" x14ac:dyDescent="0.3">
      <c r="A746" t="s">
        <v>30</v>
      </c>
      <c r="B746" t="s">
        <v>1803</v>
      </c>
      <c r="C746">
        <v>17</v>
      </c>
      <c r="D746" t="s">
        <v>163</v>
      </c>
      <c r="E746" t="s">
        <v>1991</v>
      </c>
      <c r="F746" t="s">
        <v>1992</v>
      </c>
      <c r="G746" t="s">
        <v>1533</v>
      </c>
      <c r="H746" t="s">
        <v>147</v>
      </c>
      <c r="I746">
        <v>175</v>
      </c>
      <c r="J746">
        <v>3</v>
      </c>
      <c r="K746">
        <v>0</v>
      </c>
      <c r="L746" t="s">
        <v>142</v>
      </c>
    </row>
    <row r="747" spans="1:12" x14ac:dyDescent="0.3">
      <c r="A747" t="s">
        <v>30</v>
      </c>
      <c r="B747" t="s">
        <v>1803</v>
      </c>
      <c r="C747">
        <v>18</v>
      </c>
      <c r="D747" t="s">
        <v>143</v>
      </c>
      <c r="E747" t="s">
        <v>1993</v>
      </c>
      <c r="F747" t="s">
        <v>1961</v>
      </c>
      <c r="G747" t="s">
        <v>806</v>
      </c>
      <c r="H747" t="s">
        <v>194</v>
      </c>
      <c r="I747">
        <v>186</v>
      </c>
      <c r="J747">
        <v>10</v>
      </c>
      <c r="K747">
        <v>1</v>
      </c>
      <c r="L747" t="s">
        <v>142</v>
      </c>
    </row>
    <row r="748" spans="1:12" x14ac:dyDescent="0.3">
      <c r="A748" t="s">
        <v>30</v>
      </c>
      <c r="B748" t="s">
        <v>1803</v>
      </c>
      <c r="C748">
        <v>19</v>
      </c>
      <c r="D748" t="s">
        <v>143</v>
      </c>
      <c r="E748" t="s">
        <v>1994</v>
      </c>
      <c r="F748" t="s">
        <v>1995</v>
      </c>
      <c r="G748" t="s">
        <v>1256</v>
      </c>
      <c r="H748" t="s">
        <v>926</v>
      </c>
      <c r="I748">
        <v>175</v>
      </c>
      <c r="J748">
        <v>18</v>
      </c>
      <c r="K748">
        <v>0</v>
      </c>
      <c r="L748" t="s">
        <v>142</v>
      </c>
    </row>
    <row r="749" spans="1:12" x14ac:dyDescent="0.3">
      <c r="A749" t="s">
        <v>30</v>
      </c>
      <c r="B749" t="s">
        <v>1803</v>
      </c>
      <c r="C749">
        <v>20</v>
      </c>
      <c r="D749" t="s">
        <v>163</v>
      </c>
      <c r="E749" t="s">
        <v>1996</v>
      </c>
      <c r="F749" t="s">
        <v>1997</v>
      </c>
      <c r="G749" t="s">
        <v>1620</v>
      </c>
      <c r="H749" t="s">
        <v>886</v>
      </c>
      <c r="I749">
        <v>182</v>
      </c>
      <c r="J749">
        <v>72</v>
      </c>
      <c r="K749">
        <v>35</v>
      </c>
      <c r="L749" t="s">
        <v>142</v>
      </c>
    </row>
    <row r="750" spans="1:12" x14ac:dyDescent="0.3">
      <c r="A750" t="s">
        <v>30</v>
      </c>
      <c r="B750" t="s">
        <v>1803</v>
      </c>
      <c r="C750">
        <v>21</v>
      </c>
      <c r="D750" t="s">
        <v>163</v>
      </c>
      <c r="E750" t="s">
        <v>1998</v>
      </c>
      <c r="F750" t="s">
        <v>1999</v>
      </c>
      <c r="G750" t="s">
        <v>176</v>
      </c>
      <c r="H750" t="s">
        <v>177</v>
      </c>
      <c r="I750">
        <v>179</v>
      </c>
      <c r="J750">
        <v>4</v>
      </c>
      <c r="K750">
        <v>0</v>
      </c>
      <c r="L750" t="s">
        <v>142</v>
      </c>
    </row>
    <row r="751" spans="1:12" x14ac:dyDescent="0.3">
      <c r="A751" t="s">
        <v>30</v>
      </c>
      <c r="B751" t="s">
        <v>1803</v>
      </c>
      <c r="C751">
        <v>22</v>
      </c>
      <c r="D751" t="s">
        <v>137</v>
      </c>
      <c r="E751" t="s">
        <v>2000</v>
      </c>
      <c r="F751" t="s">
        <v>2001</v>
      </c>
      <c r="G751" t="s">
        <v>2002</v>
      </c>
      <c r="H751" t="s">
        <v>1803</v>
      </c>
      <c r="I751">
        <v>194</v>
      </c>
      <c r="J751">
        <v>3</v>
      </c>
      <c r="K751">
        <v>0</v>
      </c>
      <c r="L751" t="s">
        <v>142</v>
      </c>
    </row>
    <row r="752" spans="1:12" x14ac:dyDescent="0.3">
      <c r="A752" t="s">
        <v>30</v>
      </c>
      <c r="B752" t="s">
        <v>1803</v>
      </c>
      <c r="C752">
        <v>23</v>
      </c>
      <c r="D752" t="s">
        <v>158</v>
      </c>
      <c r="E752" t="s">
        <v>2003</v>
      </c>
      <c r="F752" t="s">
        <v>2004</v>
      </c>
      <c r="G752" t="s">
        <v>543</v>
      </c>
      <c r="H752" t="s">
        <v>177</v>
      </c>
      <c r="I752">
        <v>180</v>
      </c>
      <c r="J752">
        <v>43</v>
      </c>
      <c r="K752">
        <v>3</v>
      </c>
      <c r="L752" t="s">
        <v>142</v>
      </c>
    </row>
    <row r="753" spans="1:12" x14ac:dyDescent="0.3">
      <c r="A753" t="s">
        <v>30</v>
      </c>
      <c r="B753" t="s">
        <v>1803</v>
      </c>
      <c r="C753">
        <v>24</v>
      </c>
      <c r="D753" t="s">
        <v>158</v>
      </c>
      <c r="E753" t="s">
        <v>2005</v>
      </c>
      <c r="F753" t="s">
        <v>2006</v>
      </c>
      <c r="G753" t="s">
        <v>996</v>
      </c>
      <c r="H753" t="s">
        <v>200</v>
      </c>
      <c r="I753">
        <v>185</v>
      </c>
      <c r="J753">
        <v>22</v>
      </c>
      <c r="K753">
        <v>2</v>
      </c>
      <c r="L753" t="s">
        <v>142</v>
      </c>
    </row>
    <row r="754" spans="1:12" x14ac:dyDescent="0.3">
      <c r="A754" t="s">
        <v>30</v>
      </c>
      <c r="B754" t="s">
        <v>1803</v>
      </c>
      <c r="C754">
        <v>25</v>
      </c>
      <c r="D754" t="s">
        <v>143</v>
      </c>
      <c r="E754" t="s">
        <v>2007</v>
      </c>
      <c r="F754" t="s">
        <v>2008</v>
      </c>
      <c r="G754" t="s">
        <v>2009</v>
      </c>
      <c r="H754" t="s">
        <v>223</v>
      </c>
      <c r="I754">
        <v>189</v>
      </c>
      <c r="J754">
        <v>5</v>
      </c>
      <c r="K754">
        <v>0</v>
      </c>
      <c r="L754" t="s">
        <v>142</v>
      </c>
    </row>
    <row r="755" spans="1:12" x14ac:dyDescent="0.3">
      <c r="A755" t="s">
        <v>30</v>
      </c>
      <c r="B755" t="s">
        <v>1803</v>
      </c>
      <c r="C755">
        <v>26</v>
      </c>
      <c r="D755" t="s">
        <v>143</v>
      </c>
      <c r="E755" t="s">
        <v>2010</v>
      </c>
      <c r="F755" t="s">
        <v>2011</v>
      </c>
      <c r="G755" t="s">
        <v>447</v>
      </c>
      <c r="H755" t="s">
        <v>162</v>
      </c>
      <c r="I755">
        <v>181</v>
      </c>
      <c r="J755">
        <v>13</v>
      </c>
      <c r="K755">
        <v>0</v>
      </c>
      <c r="L755" t="s">
        <v>142</v>
      </c>
    </row>
    <row r="756" spans="1:12" x14ac:dyDescent="0.3">
      <c r="A756" t="s">
        <v>38</v>
      </c>
      <c r="B756" t="s">
        <v>162</v>
      </c>
      <c r="C756">
        <v>1</v>
      </c>
      <c r="D756" t="s">
        <v>137</v>
      </c>
      <c r="E756" t="s">
        <v>2012</v>
      </c>
      <c r="F756" t="s">
        <v>534</v>
      </c>
      <c r="G756" t="s">
        <v>466</v>
      </c>
      <c r="H756" t="s">
        <v>194</v>
      </c>
      <c r="I756">
        <v>193</v>
      </c>
      <c r="J756">
        <v>33</v>
      </c>
      <c r="K756">
        <v>0</v>
      </c>
      <c r="L756" t="s">
        <v>142</v>
      </c>
    </row>
    <row r="757" spans="1:12" x14ac:dyDescent="0.3">
      <c r="A757" t="s">
        <v>38</v>
      </c>
      <c r="B757" t="s">
        <v>162</v>
      </c>
      <c r="C757">
        <v>2</v>
      </c>
      <c r="D757" t="s">
        <v>143</v>
      </c>
      <c r="E757" t="s">
        <v>2013</v>
      </c>
      <c r="F757" t="s">
        <v>2014</v>
      </c>
      <c r="G757" t="s">
        <v>910</v>
      </c>
      <c r="H757" t="s">
        <v>194</v>
      </c>
      <c r="I757">
        <v>185</v>
      </c>
      <c r="J757">
        <v>21</v>
      </c>
      <c r="K757">
        <v>0</v>
      </c>
      <c r="L757" t="s">
        <v>142</v>
      </c>
    </row>
    <row r="758" spans="1:12" x14ac:dyDescent="0.3">
      <c r="A758" t="s">
        <v>38</v>
      </c>
      <c r="B758" t="s">
        <v>162</v>
      </c>
      <c r="C758">
        <v>3</v>
      </c>
      <c r="D758" t="s">
        <v>158</v>
      </c>
      <c r="E758" t="s">
        <v>2015</v>
      </c>
      <c r="F758" t="s">
        <v>1387</v>
      </c>
      <c r="G758" t="s">
        <v>495</v>
      </c>
      <c r="H758" t="s">
        <v>200</v>
      </c>
      <c r="I758">
        <v>186</v>
      </c>
      <c r="J758">
        <v>44</v>
      </c>
      <c r="K758">
        <v>1</v>
      </c>
      <c r="L758" t="s">
        <v>142</v>
      </c>
    </row>
    <row r="759" spans="1:12" x14ac:dyDescent="0.3">
      <c r="A759" t="s">
        <v>38</v>
      </c>
      <c r="B759" t="s">
        <v>162</v>
      </c>
      <c r="C759">
        <v>4</v>
      </c>
      <c r="D759" t="s">
        <v>143</v>
      </c>
      <c r="E759" t="s">
        <v>2016</v>
      </c>
      <c r="F759" t="s">
        <v>2017</v>
      </c>
      <c r="G759" t="s">
        <v>284</v>
      </c>
      <c r="H759" t="s">
        <v>194</v>
      </c>
      <c r="I759">
        <v>195</v>
      </c>
      <c r="J759">
        <v>96</v>
      </c>
      <c r="K759">
        <v>13</v>
      </c>
      <c r="L759" t="s">
        <v>142</v>
      </c>
    </row>
    <row r="760" spans="1:12" x14ac:dyDescent="0.3">
      <c r="A760" t="s">
        <v>38</v>
      </c>
      <c r="B760" t="s">
        <v>162</v>
      </c>
      <c r="C760">
        <v>5</v>
      </c>
      <c r="D760" t="s">
        <v>143</v>
      </c>
      <c r="E760" t="s">
        <v>2018</v>
      </c>
      <c r="F760" t="s">
        <v>2019</v>
      </c>
      <c r="G760" t="s">
        <v>193</v>
      </c>
      <c r="H760" t="s">
        <v>194</v>
      </c>
      <c r="I760">
        <v>180</v>
      </c>
      <c r="J760">
        <v>62</v>
      </c>
      <c r="K760">
        <v>5</v>
      </c>
      <c r="L760" t="s">
        <v>142</v>
      </c>
    </row>
    <row r="761" spans="1:12" x14ac:dyDescent="0.3">
      <c r="A761" t="s">
        <v>38</v>
      </c>
      <c r="B761" t="s">
        <v>162</v>
      </c>
      <c r="C761">
        <v>6</v>
      </c>
      <c r="D761" t="s">
        <v>143</v>
      </c>
      <c r="E761" t="s">
        <v>2020</v>
      </c>
      <c r="F761" t="s">
        <v>1492</v>
      </c>
      <c r="G761" t="s">
        <v>466</v>
      </c>
      <c r="H761" t="s">
        <v>194</v>
      </c>
      <c r="I761">
        <v>189</v>
      </c>
      <c r="J761">
        <v>16</v>
      </c>
      <c r="K761">
        <v>1</v>
      </c>
      <c r="L761" t="s">
        <v>142</v>
      </c>
    </row>
    <row r="762" spans="1:12" x14ac:dyDescent="0.3">
      <c r="A762" t="s">
        <v>38</v>
      </c>
      <c r="B762" t="s">
        <v>162</v>
      </c>
      <c r="C762">
        <v>7</v>
      </c>
      <c r="D762" t="s">
        <v>158</v>
      </c>
      <c r="E762" t="s">
        <v>2021</v>
      </c>
      <c r="F762" t="s">
        <v>2022</v>
      </c>
      <c r="G762" t="s">
        <v>236</v>
      </c>
      <c r="H762" t="s">
        <v>194</v>
      </c>
      <c r="I762">
        <v>173</v>
      </c>
      <c r="J762">
        <v>14</v>
      </c>
      <c r="K762">
        <v>0</v>
      </c>
      <c r="L762" t="s">
        <v>142</v>
      </c>
    </row>
    <row r="763" spans="1:12" x14ac:dyDescent="0.3">
      <c r="A763" t="s">
        <v>38</v>
      </c>
      <c r="B763" t="s">
        <v>162</v>
      </c>
      <c r="C763">
        <v>8</v>
      </c>
      <c r="D763" t="s">
        <v>158</v>
      </c>
      <c r="E763" t="s">
        <v>2023</v>
      </c>
      <c r="F763" t="s">
        <v>2024</v>
      </c>
      <c r="G763" t="s">
        <v>284</v>
      </c>
      <c r="H763" t="s">
        <v>194</v>
      </c>
      <c r="I763">
        <v>190</v>
      </c>
      <c r="J763">
        <v>31</v>
      </c>
      <c r="K763">
        <v>1</v>
      </c>
      <c r="L763" t="s">
        <v>142</v>
      </c>
    </row>
    <row r="764" spans="1:12" x14ac:dyDescent="0.3">
      <c r="A764" t="s">
        <v>38</v>
      </c>
      <c r="B764" t="s">
        <v>162</v>
      </c>
      <c r="C764">
        <v>9</v>
      </c>
      <c r="D764" t="s">
        <v>163</v>
      </c>
      <c r="E764" t="s">
        <v>2025</v>
      </c>
      <c r="F764" t="s">
        <v>2026</v>
      </c>
      <c r="G764" t="s">
        <v>1023</v>
      </c>
      <c r="H764" t="s">
        <v>162</v>
      </c>
      <c r="I764">
        <v>197</v>
      </c>
      <c r="J764">
        <v>53</v>
      </c>
      <c r="K764">
        <v>14</v>
      </c>
      <c r="L764" t="s">
        <v>142</v>
      </c>
    </row>
    <row r="765" spans="1:12" x14ac:dyDescent="0.3">
      <c r="A765" t="s">
        <v>38</v>
      </c>
      <c r="B765" t="s">
        <v>162</v>
      </c>
      <c r="C765">
        <v>10</v>
      </c>
      <c r="D765" t="s">
        <v>163</v>
      </c>
      <c r="E765" t="s">
        <v>2027</v>
      </c>
      <c r="F765" t="s">
        <v>2028</v>
      </c>
      <c r="G765" t="s">
        <v>2029</v>
      </c>
      <c r="H765" t="s">
        <v>288</v>
      </c>
      <c r="I765">
        <v>178</v>
      </c>
      <c r="J765">
        <v>112</v>
      </c>
      <c r="K765">
        <v>55</v>
      </c>
      <c r="L765" t="s">
        <v>142</v>
      </c>
    </row>
    <row r="766" spans="1:12" x14ac:dyDescent="0.3">
      <c r="A766" t="s">
        <v>38</v>
      </c>
      <c r="B766" t="s">
        <v>162</v>
      </c>
      <c r="C766">
        <v>11</v>
      </c>
      <c r="D766" t="s">
        <v>163</v>
      </c>
      <c r="E766" t="s">
        <v>2030</v>
      </c>
      <c r="F766" t="s">
        <v>2031</v>
      </c>
      <c r="G766" t="s">
        <v>284</v>
      </c>
      <c r="H766" t="s">
        <v>194</v>
      </c>
      <c r="I766">
        <v>193</v>
      </c>
      <c r="J766">
        <v>54</v>
      </c>
      <c r="K766">
        <v>24</v>
      </c>
      <c r="L766" t="s">
        <v>142</v>
      </c>
    </row>
    <row r="767" spans="1:12" x14ac:dyDescent="0.3">
      <c r="A767" t="s">
        <v>38</v>
      </c>
      <c r="B767" t="s">
        <v>162</v>
      </c>
      <c r="C767">
        <v>12</v>
      </c>
      <c r="D767" t="s">
        <v>143</v>
      </c>
      <c r="E767" t="s">
        <v>2032</v>
      </c>
      <c r="F767" t="s">
        <v>2033</v>
      </c>
      <c r="G767" t="s">
        <v>466</v>
      </c>
      <c r="H767" t="s">
        <v>194</v>
      </c>
      <c r="I767">
        <v>189</v>
      </c>
      <c r="J767">
        <v>15</v>
      </c>
      <c r="K767">
        <v>1</v>
      </c>
      <c r="L767" t="s">
        <v>142</v>
      </c>
    </row>
    <row r="768" spans="1:12" x14ac:dyDescent="0.3">
      <c r="A768" t="s">
        <v>38</v>
      </c>
      <c r="B768" t="s">
        <v>162</v>
      </c>
      <c r="C768">
        <v>13</v>
      </c>
      <c r="D768" t="s">
        <v>137</v>
      </c>
      <c r="E768" t="s">
        <v>2034</v>
      </c>
      <c r="F768" t="s">
        <v>2035</v>
      </c>
      <c r="G768" t="s">
        <v>910</v>
      </c>
      <c r="H768" t="s">
        <v>194</v>
      </c>
      <c r="I768">
        <v>193</v>
      </c>
      <c r="J768">
        <v>1</v>
      </c>
      <c r="K768">
        <v>0</v>
      </c>
      <c r="L768" t="s">
        <v>142</v>
      </c>
    </row>
    <row r="769" spans="1:12" x14ac:dyDescent="0.3">
      <c r="A769" t="s">
        <v>38</v>
      </c>
      <c r="B769" t="s">
        <v>162</v>
      </c>
      <c r="C769">
        <v>14</v>
      </c>
      <c r="D769" t="s">
        <v>158</v>
      </c>
      <c r="E769" t="s">
        <v>2036</v>
      </c>
      <c r="F769" t="s">
        <v>2037</v>
      </c>
      <c r="G769" t="s">
        <v>193</v>
      </c>
      <c r="H769" t="s">
        <v>194</v>
      </c>
      <c r="I769">
        <v>178</v>
      </c>
      <c r="J769">
        <v>35</v>
      </c>
      <c r="K769">
        <v>7</v>
      </c>
      <c r="L769" t="s">
        <v>142</v>
      </c>
    </row>
    <row r="770" spans="1:12" x14ac:dyDescent="0.3">
      <c r="A770" t="s">
        <v>38</v>
      </c>
      <c r="B770" t="s">
        <v>162</v>
      </c>
      <c r="C770">
        <v>15</v>
      </c>
      <c r="D770" t="s">
        <v>143</v>
      </c>
      <c r="E770" t="s">
        <v>2038</v>
      </c>
      <c r="F770" t="s">
        <v>2039</v>
      </c>
      <c r="G770" t="s">
        <v>266</v>
      </c>
      <c r="H770" t="s">
        <v>194</v>
      </c>
      <c r="I770">
        <v>193</v>
      </c>
      <c r="J770">
        <v>24</v>
      </c>
      <c r="K770">
        <v>1</v>
      </c>
      <c r="L770" t="s">
        <v>142</v>
      </c>
    </row>
    <row r="771" spans="1:12" x14ac:dyDescent="0.3">
      <c r="A771" t="s">
        <v>38</v>
      </c>
      <c r="B771" t="s">
        <v>162</v>
      </c>
      <c r="C771">
        <v>16</v>
      </c>
      <c r="D771" t="s">
        <v>158</v>
      </c>
      <c r="E771" t="s">
        <v>2040</v>
      </c>
      <c r="F771" t="s">
        <v>2041</v>
      </c>
      <c r="G771" t="s">
        <v>447</v>
      </c>
      <c r="H771" t="s">
        <v>162</v>
      </c>
      <c r="I771">
        <v>188</v>
      </c>
      <c r="J771">
        <v>8</v>
      </c>
      <c r="K771">
        <v>1</v>
      </c>
      <c r="L771" t="s">
        <v>142</v>
      </c>
    </row>
    <row r="772" spans="1:12" x14ac:dyDescent="0.3">
      <c r="A772" t="s">
        <v>38</v>
      </c>
      <c r="B772" t="s">
        <v>162</v>
      </c>
      <c r="C772">
        <v>17</v>
      </c>
      <c r="D772" t="s">
        <v>163</v>
      </c>
      <c r="E772" t="s">
        <v>2042</v>
      </c>
      <c r="F772" t="s">
        <v>2043</v>
      </c>
      <c r="G772" t="s">
        <v>861</v>
      </c>
      <c r="H772" t="s">
        <v>523</v>
      </c>
      <c r="I772">
        <v>176</v>
      </c>
      <c r="J772">
        <v>17</v>
      </c>
      <c r="K772">
        <v>3</v>
      </c>
      <c r="L772" t="s">
        <v>142</v>
      </c>
    </row>
    <row r="773" spans="1:12" x14ac:dyDescent="0.3">
      <c r="A773" t="s">
        <v>38</v>
      </c>
      <c r="B773" t="s">
        <v>162</v>
      </c>
      <c r="C773">
        <v>18</v>
      </c>
      <c r="D773" t="s">
        <v>163</v>
      </c>
      <c r="E773" t="s">
        <v>2044</v>
      </c>
      <c r="F773" t="s">
        <v>2045</v>
      </c>
      <c r="G773" t="s">
        <v>996</v>
      </c>
      <c r="H773" t="s">
        <v>200</v>
      </c>
      <c r="I773">
        <v>178</v>
      </c>
      <c r="J773">
        <v>56</v>
      </c>
      <c r="K773">
        <v>13</v>
      </c>
      <c r="L773" t="s">
        <v>142</v>
      </c>
    </row>
    <row r="774" spans="1:12" x14ac:dyDescent="0.3">
      <c r="A774" t="s">
        <v>38</v>
      </c>
      <c r="B774" t="s">
        <v>162</v>
      </c>
      <c r="C774">
        <v>19</v>
      </c>
      <c r="D774" t="s">
        <v>163</v>
      </c>
      <c r="E774" t="s">
        <v>2046</v>
      </c>
      <c r="F774" t="s">
        <v>2047</v>
      </c>
      <c r="G774" t="s">
        <v>910</v>
      </c>
      <c r="H774" t="s">
        <v>194</v>
      </c>
      <c r="I774">
        <v>181</v>
      </c>
      <c r="J774">
        <v>16</v>
      </c>
      <c r="K774">
        <v>4</v>
      </c>
      <c r="L774" t="s">
        <v>142</v>
      </c>
    </row>
    <row r="775" spans="1:12" x14ac:dyDescent="0.3">
      <c r="A775" t="s">
        <v>38</v>
      </c>
      <c r="B775" t="s">
        <v>162</v>
      </c>
      <c r="C775">
        <v>20</v>
      </c>
      <c r="D775" t="s">
        <v>158</v>
      </c>
      <c r="E775" t="s">
        <v>2048</v>
      </c>
      <c r="F775" t="s">
        <v>2049</v>
      </c>
      <c r="G775" t="s">
        <v>623</v>
      </c>
      <c r="H775" t="s">
        <v>200</v>
      </c>
      <c r="I775">
        <v>185</v>
      </c>
      <c r="J775">
        <v>32</v>
      </c>
      <c r="K775">
        <v>3</v>
      </c>
      <c r="L775" t="s">
        <v>142</v>
      </c>
    </row>
    <row r="776" spans="1:12" x14ac:dyDescent="0.3">
      <c r="A776" t="s">
        <v>38</v>
      </c>
      <c r="B776" t="s">
        <v>162</v>
      </c>
      <c r="C776">
        <v>21</v>
      </c>
      <c r="D776" t="s">
        <v>158</v>
      </c>
      <c r="E776" t="s">
        <v>2050</v>
      </c>
      <c r="F776" t="s">
        <v>2051</v>
      </c>
      <c r="G776" t="s">
        <v>615</v>
      </c>
      <c r="H776" t="s">
        <v>219</v>
      </c>
      <c r="I776">
        <v>181</v>
      </c>
      <c r="J776">
        <v>70</v>
      </c>
      <c r="K776">
        <v>2</v>
      </c>
      <c r="L776" t="s">
        <v>142</v>
      </c>
    </row>
    <row r="777" spans="1:12" x14ac:dyDescent="0.3">
      <c r="A777" t="s">
        <v>38</v>
      </c>
      <c r="B777" t="s">
        <v>162</v>
      </c>
      <c r="C777">
        <v>22</v>
      </c>
      <c r="D777" t="s">
        <v>143</v>
      </c>
      <c r="E777" t="s">
        <v>2052</v>
      </c>
      <c r="F777" t="s">
        <v>2053</v>
      </c>
      <c r="G777" t="s">
        <v>291</v>
      </c>
      <c r="H777" t="s">
        <v>200</v>
      </c>
      <c r="I777">
        <v>188</v>
      </c>
      <c r="J777">
        <v>76</v>
      </c>
      <c r="K777">
        <v>11</v>
      </c>
      <c r="L777" t="s">
        <v>142</v>
      </c>
    </row>
    <row r="778" spans="1:12" x14ac:dyDescent="0.3">
      <c r="A778" t="s">
        <v>38</v>
      </c>
      <c r="B778" t="s">
        <v>162</v>
      </c>
      <c r="C778">
        <v>23</v>
      </c>
      <c r="D778" t="s">
        <v>137</v>
      </c>
      <c r="E778" t="s">
        <v>2054</v>
      </c>
      <c r="F778" t="s">
        <v>1476</v>
      </c>
      <c r="G778" t="s">
        <v>215</v>
      </c>
      <c r="H778" t="s">
        <v>177</v>
      </c>
      <c r="I778">
        <v>195</v>
      </c>
      <c r="J778">
        <v>12</v>
      </c>
      <c r="K778">
        <v>0</v>
      </c>
      <c r="L778" t="s">
        <v>142</v>
      </c>
    </row>
    <row r="779" spans="1:12" x14ac:dyDescent="0.3">
      <c r="A779" t="s">
        <v>38</v>
      </c>
      <c r="B779" t="s">
        <v>162</v>
      </c>
      <c r="C779">
        <v>24</v>
      </c>
      <c r="D779" t="s">
        <v>163</v>
      </c>
      <c r="E779" t="s">
        <v>2055</v>
      </c>
      <c r="F779" t="s">
        <v>2056</v>
      </c>
      <c r="G779" t="s">
        <v>876</v>
      </c>
      <c r="H779" t="s">
        <v>194</v>
      </c>
      <c r="I779">
        <v>172</v>
      </c>
      <c r="J779">
        <v>6</v>
      </c>
      <c r="K779">
        <v>2</v>
      </c>
      <c r="L779" t="s">
        <v>142</v>
      </c>
    </row>
    <row r="780" spans="1:12" x14ac:dyDescent="0.3">
      <c r="A780" t="s">
        <v>38</v>
      </c>
      <c r="B780" t="s">
        <v>162</v>
      </c>
      <c r="C780">
        <v>25</v>
      </c>
      <c r="D780" t="s">
        <v>143</v>
      </c>
      <c r="E780" t="s">
        <v>2057</v>
      </c>
      <c r="F780" t="s">
        <v>2058</v>
      </c>
      <c r="G780" t="s">
        <v>297</v>
      </c>
      <c r="H780" t="s">
        <v>194</v>
      </c>
      <c r="I780">
        <v>182</v>
      </c>
      <c r="J780">
        <v>9</v>
      </c>
      <c r="K780">
        <v>0</v>
      </c>
      <c r="L780" t="s">
        <v>142</v>
      </c>
    </row>
    <row r="781" spans="1:12" x14ac:dyDescent="0.3">
      <c r="A781" t="s">
        <v>38</v>
      </c>
      <c r="B781" t="s">
        <v>162</v>
      </c>
      <c r="C781">
        <v>26</v>
      </c>
      <c r="D781" t="s">
        <v>158</v>
      </c>
      <c r="E781" t="s">
        <v>2059</v>
      </c>
      <c r="F781" t="s">
        <v>2060</v>
      </c>
      <c r="G781" t="s">
        <v>173</v>
      </c>
      <c r="H781" t="s">
        <v>147</v>
      </c>
      <c r="I781">
        <v>176</v>
      </c>
      <c r="J781">
        <v>13</v>
      </c>
      <c r="K781">
        <v>1</v>
      </c>
      <c r="L781" t="s">
        <v>142</v>
      </c>
    </row>
    <row r="782" spans="1:12" x14ac:dyDescent="0.3">
      <c r="A782" t="s">
        <v>53</v>
      </c>
      <c r="B782" t="s">
        <v>2061</v>
      </c>
      <c r="C782">
        <v>1</v>
      </c>
      <c r="D782" t="s">
        <v>137</v>
      </c>
      <c r="E782" t="s">
        <v>2062</v>
      </c>
      <c r="F782" t="s">
        <v>2063</v>
      </c>
      <c r="G782" t="s">
        <v>2064</v>
      </c>
      <c r="H782" t="s">
        <v>194</v>
      </c>
      <c r="I782">
        <v>190</v>
      </c>
      <c r="J782">
        <v>27</v>
      </c>
      <c r="K782">
        <v>0</v>
      </c>
      <c r="L782" t="s">
        <v>142</v>
      </c>
    </row>
    <row r="783" spans="1:12" x14ac:dyDescent="0.3">
      <c r="A783" t="s">
        <v>53</v>
      </c>
      <c r="B783" t="s">
        <v>2061</v>
      </c>
      <c r="C783">
        <v>2</v>
      </c>
      <c r="D783" t="s">
        <v>143</v>
      </c>
      <c r="E783" t="s">
        <v>2065</v>
      </c>
      <c r="F783" t="s">
        <v>2066</v>
      </c>
      <c r="G783" t="s">
        <v>2067</v>
      </c>
      <c r="H783" t="s">
        <v>2061</v>
      </c>
      <c r="I783">
        <v>179</v>
      </c>
      <c r="J783">
        <v>55</v>
      </c>
      <c r="K783">
        <v>3</v>
      </c>
      <c r="L783" t="s">
        <v>142</v>
      </c>
    </row>
    <row r="784" spans="1:12" x14ac:dyDescent="0.3">
      <c r="A784" t="s">
        <v>53</v>
      </c>
      <c r="B784" t="s">
        <v>2061</v>
      </c>
      <c r="C784">
        <v>3</v>
      </c>
      <c r="D784" t="s">
        <v>143</v>
      </c>
      <c r="E784" t="s">
        <v>2068</v>
      </c>
      <c r="F784" t="s">
        <v>2069</v>
      </c>
      <c r="G784" t="s">
        <v>2070</v>
      </c>
      <c r="H784" t="s">
        <v>2061</v>
      </c>
      <c r="I784">
        <v>181</v>
      </c>
      <c r="J784">
        <v>22</v>
      </c>
      <c r="K784">
        <v>1</v>
      </c>
      <c r="L784" t="s">
        <v>142</v>
      </c>
    </row>
    <row r="785" spans="1:12" x14ac:dyDescent="0.3">
      <c r="A785" t="s">
        <v>53</v>
      </c>
      <c r="B785" t="s">
        <v>2061</v>
      </c>
      <c r="C785">
        <v>4</v>
      </c>
      <c r="D785" t="s">
        <v>143</v>
      </c>
      <c r="E785" t="s">
        <v>2071</v>
      </c>
      <c r="F785" t="s">
        <v>2072</v>
      </c>
      <c r="G785" t="s">
        <v>1123</v>
      </c>
      <c r="H785" t="s">
        <v>194</v>
      </c>
      <c r="I785">
        <v>190</v>
      </c>
      <c r="J785">
        <v>28</v>
      </c>
      <c r="K785">
        <v>2</v>
      </c>
      <c r="L785" t="s">
        <v>142</v>
      </c>
    </row>
    <row r="786" spans="1:12" x14ac:dyDescent="0.3">
      <c r="A786" t="s">
        <v>53</v>
      </c>
      <c r="B786" t="s">
        <v>2061</v>
      </c>
      <c r="C786">
        <v>5</v>
      </c>
      <c r="D786" t="s">
        <v>143</v>
      </c>
      <c r="E786" t="s">
        <v>2073</v>
      </c>
      <c r="F786" t="s">
        <v>2074</v>
      </c>
      <c r="G786" t="s">
        <v>825</v>
      </c>
      <c r="H786" t="s">
        <v>25</v>
      </c>
      <c r="I786">
        <v>191</v>
      </c>
      <c r="J786">
        <v>67</v>
      </c>
      <c r="K786">
        <v>1</v>
      </c>
      <c r="L786" t="s">
        <v>142</v>
      </c>
    </row>
    <row r="787" spans="1:12" x14ac:dyDescent="0.3">
      <c r="A787" t="s">
        <v>53</v>
      </c>
      <c r="B787" t="s">
        <v>2061</v>
      </c>
      <c r="C787">
        <v>6</v>
      </c>
      <c r="D787" t="s">
        <v>158</v>
      </c>
      <c r="E787" t="s">
        <v>2075</v>
      </c>
      <c r="F787" t="s">
        <v>2076</v>
      </c>
      <c r="G787" t="s">
        <v>2077</v>
      </c>
      <c r="H787" t="s">
        <v>1715</v>
      </c>
      <c r="I787">
        <v>182</v>
      </c>
      <c r="J787">
        <v>35</v>
      </c>
      <c r="K787">
        <v>1</v>
      </c>
      <c r="L787" t="s">
        <v>142</v>
      </c>
    </row>
    <row r="788" spans="1:12" x14ac:dyDescent="0.3">
      <c r="A788" t="s">
        <v>53</v>
      </c>
      <c r="B788" t="s">
        <v>2061</v>
      </c>
      <c r="C788">
        <v>7</v>
      </c>
      <c r="D788" t="s">
        <v>163</v>
      </c>
      <c r="E788" t="s">
        <v>2078</v>
      </c>
      <c r="F788" t="s">
        <v>2079</v>
      </c>
      <c r="G788" t="s">
        <v>2070</v>
      </c>
      <c r="H788" t="s">
        <v>2061</v>
      </c>
      <c r="I788">
        <v>182</v>
      </c>
      <c r="J788">
        <v>18</v>
      </c>
      <c r="K788">
        <v>2</v>
      </c>
      <c r="L788" t="s">
        <v>142</v>
      </c>
    </row>
    <row r="789" spans="1:12" x14ac:dyDescent="0.3">
      <c r="A789" t="s">
        <v>53</v>
      </c>
      <c r="B789" t="s">
        <v>2061</v>
      </c>
      <c r="C789">
        <v>8</v>
      </c>
      <c r="D789" t="s">
        <v>158</v>
      </c>
      <c r="E789" t="s">
        <v>2080</v>
      </c>
      <c r="F789" t="s">
        <v>2081</v>
      </c>
      <c r="G789" t="s">
        <v>365</v>
      </c>
      <c r="H789" t="s">
        <v>366</v>
      </c>
      <c r="I789">
        <v>188</v>
      </c>
      <c r="J789">
        <v>43</v>
      </c>
      <c r="K789">
        <v>3</v>
      </c>
      <c r="L789" t="s">
        <v>142</v>
      </c>
    </row>
    <row r="790" spans="1:12" x14ac:dyDescent="0.3">
      <c r="A790" t="s">
        <v>53</v>
      </c>
      <c r="B790" t="s">
        <v>2061</v>
      </c>
      <c r="C790">
        <v>9</v>
      </c>
      <c r="D790" t="s">
        <v>163</v>
      </c>
      <c r="E790" t="s">
        <v>2082</v>
      </c>
      <c r="F790" t="s">
        <v>2083</v>
      </c>
      <c r="G790" t="s">
        <v>988</v>
      </c>
      <c r="H790" t="s">
        <v>194</v>
      </c>
      <c r="I790">
        <v>191</v>
      </c>
      <c r="J790">
        <v>93</v>
      </c>
      <c r="K790">
        <v>45</v>
      </c>
      <c r="L790" t="s">
        <v>142</v>
      </c>
    </row>
    <row r="791" spans="1:12" x14ac:dyDescent="0.3">
      <c r="A791" t="s">
        <v>53</v>
      </c>
      <c r="B791" t="s">
        <v>2061</v>
      </c>
      <c r="C791">
        <v>10</v>
      </c>
      <c r="D791" t="s">
        <v>158</v>
      </c>
      <c r="E791" t="s">
        <v>2084</v>
      </c>
      <c r="F791" t="s">
        <v>2085</v>
      </c>
      <c r="G791" t="s">
        <v>2067</v>
      </c>
      <c r="H791" t="s">
        <v>2061</v>
      </c>
      <c r="I791">
        <v>180</v>
      </c>
      <c r="J791">
        <v>31</v>
      </c>
      <c r="K791">
        <v>3</v>
      </c>
      <c r="L791" t="s">
        <v>142</v>
      </c>
    </row>
    <row r="792" spans="1:12" x14ac:dyDescent="0.3">
      <c r="A792" t="s">
        <v>53</v>
      </c>
      <c r="B792" t="s">
        <v>2061</v>
      </c>
      <c r="C792">
        <v>11</v>
      </c>
      <c r="D792" t="s">
        <v>158</v>
      </c>
      <c r="E792" t="s">
        <v>2086</v>
      </c>
      <c r="F792" t="s">
        <v>1684</v>
      </c>
      <c r="G792" t="s">
        <v>2087</v>
      </c>
      <c r="H792" t="s">
        <v>347</v>
      </c>
      <c r="I792">
        <v>176</v>
      </c>
      <c r="J792">
        <v>47</v>
      </c>
      <c r="K792">
        <v>12</v>
      </c>
      <c r="L792" t="s">
        <v>142</v>
      </c>
    </row>
    <row r="793" spans="1:12" x14ac:dyDescent="0.3">
      <c r="A793" t="s">
        <v>53</v>
      </c>
      <c r="B793" t="s">
        <v>2061</v>
      </c>
      <c r="C793">
        <v>12</v>
      </c>
      <c r="D793" t="s">
        <v>137</v>
      </c>
      <c r="E793" t="s">
        <v>2088</v>
      </c>
      <c r="F793" t="s">
        <v>2089</v>
      </c>
      <c r="G793" t="s">
        <v>2090</v>
      </c>
      <c r="H793" t="s">
        <v>540</v>
      </c>
      <c r="I793">
        <v>193</v>
      </c>
      <c r="J793">
        <v>8</v>
      </c>
      <c r="K793">
        <v>0</v>
      </c>
      <c r="L793" t="s">
        <v>142</v>
      </c>
    </row>
    <row r="794" spans="1:12" x14ac:dyDescent="0.3">
      <c r="A794" t="s">
        <v>53</v>
      </c>
      <c r="B794" t="s">
        <v>2061</v>
      </c>
      <c r="C794">
        <v>13</v>
      </c>
      <c r="D794" t="s">
        <v>143</v>
      </c>
      <c r="E794" t="s">
        <v>2091</v>
      </c>
      <c r="F794" t="s">
        <v>2092</v>
      </c>
      <c r="G794" t="s">
        <v>2093</v>
      </c>
      <c r="H794" t="s">
        <v>366</v>
      </c>
      <c r="I794">
        <v>182</v>
      </c>
      <c r="J794">
        <v>40</v>
      </c>
      <c r="K794">
        <v>1</v>
      </c>
      <c r="L794" t="s">
        <v>142</v>
      </c>
    </row>
    <row r="795" spans="1:12" x14ac:dyDescent="0.3">
      <c r="A795" t="s">
        <v>53</v>
      </c>
      <c r="B795" t="s">
        <v>2061</v>
      </c>
      <c r="C795">
        <v>14</v>
      </c>
      <c r="D795" t="s">
        <v>158</v>
      </c>
      <c r="E795" t="s">
        <v>2094</v>
      </c>
      <c r="F795" t="s">
        <v>860</v>
      </c>
      <c r="G795" t="s">
        <v>2067</v>
      </c>
      <c r="H795" t="s">
        <v>2061</v>
      </c>
      <c r="I795">
        <v>180</v>
      </c>
      <c r="J795">
        <v>26</v>
      </c>
      <c r="K795">
        <v>0</v>
      </c>
      <c r="L795" t="s">
        <v>142</v>
      </c>
    </row>
    <row r="796" spans="1:12" x14ac:dyDescent="0.3">
      <c r="A796" t="s">
        <v>53</v>
      </c>
      <c r="B796" t="s">
        <v>2061</v>
      </c>
      <c r="C796">
        <v>15</v>
      </c>
      <c r="D796" t="s">
        <v>143</v>
      </c>
      <c r="E796" t="s">
        <v>2095</v>
      </c>
      <c r="F796" t="s">
        <v>2096</v>
      </c>
      <c r="G796" t="s">
        <v>2070</v>
      </c>
      <c r="H796" t="s">
        <v>2061</v>
      </c>
      <c r="I796">
        <v>185</v>
      </c>
      <c r="J796">
        <v>26</v>
      </c>
      <c r="K796">
        <v>0</v>
      </c>
      <c r="L796" t="s">
        <v>142</v>
      </c>
    </row>
    <row r="797" spans="1:12" x14ac:dyDescent="0.3">
      <c r="A797" t="s">
        <v>53</v>
      </c>
      <c r="B797" t="s">
        <v>2061</v>
      </c>
      <c r="C797">
        <v>16</v>
      </c>
      <c r="D797" t="s">
        <v>143</v>
      </c>
      <c r="E797" t="s">
        <v>2097</v>
      </c>
      <c r="F797" t="s">
        <v>1524</v>
      </c>
      <c r="G797" t="s">
        <v>2098</v>
      </c>
      <c r="H797" t="s">
        <v>25</v>
      </c>
      <c r="I797">
        <v>190</v>
      </c>
      <c r="J797">
        <v>22</v>
      </c>
      <c r="K797">
        <v>3</v>
      </c>
      <c r="L797" t="s">
        <v>142</v>
      </c>
    </row>
    <row r="798" spans="1:12" x14ac:dyDescent="0.3">
      <c r="A798" t="s">
        <v>53</v>
      </c>
      <c r="B798" t="s">
        <v>2061</v>
      </c>
      <c r="C798">
        <v>17</v>
      </c>
      <c r="D798" t="s">
        <v>163</v>
      </c>
      <c r="E798" t="s">
        <v>2099</v>
      </c>
      <c r="F798" t="s">
        <v>2100</v>
      </c>
      <c r="G798" t="s">
        <v>2101</v>
      </c>
      <c r="H798" t="s">
        <v>301</v>
      </c>
      <c r="I798">
        <v>171</v>
      </c>
      <c r="J798">
        <v>76</v>
      </c>
      <c r="K798">
        <v>10</v>
      </c>
      <c r="L798" t="s">
        <v>142</v>
      </c>
    </row>
    <row r="799" spans="1:12" x14ac:dyDescent="0.3">
      <c r="A799" t="s">
        <v>53</v>
      </c>
      <c r="B799" t="s">
        <v>2061</v>
      </c>
      <c r="C799">
        <v>18</v>
      </c>
      <c r="D799" t="s">
        <v>163</v>
      </c>
      <c r="E799" t="s">
        <v>2102</v>
      </c>
      <c r="F799" t="s">
        <v>2103</v>
      </c>
      <c r="G799" t="s">
        <v>2104</v>
      </c>
      <c r="H799" t="s">
        <v>194</v>
      </c>
      <c r="I799">
        <v>185</v>
      </c>
      <c r="J799">
        <v>31</v>
      </c>
      <c r="K799">
        <v>9</v>
      </c>
      <c r="L799" t="s">
        <v>142</v>
      </c>
    </row>
    <row r="800" spans="1:12" x14ac:dyDescent="0.3">
      <c r="A800" t="s">
        <v>53</v>
      </c>
      <c r="B800" t="s">
        <v>2061</v>
      </c>
      <c r="C800">
        <v>19</v>
      </c>
      <c r="D800" t="s">
        <v>158</v>
      </c>
      <c r="E800" t="s">
        <v>2105</v>
      </c>
      <c r="F800" t="s">
        <v>2106</v>
      </c>
      <c r="G800" t="s">
        <v>1515</v>
      </c>
      <c r="H800" t="s">
        <v>147</v>
      </c>
      <c r="I800">
        <v>173</v>
      </c>
      <c r="J800">
        <v>27</v>
      </c>
      <c r="K800">
        <v>2</v>
      </c>
      <c r="L800" t="s">
        <v>142</v>
      </c>
    </row>
    <row r="801" spans="1:12" x14ac:dyDescent="0.3">
      <c r="A801" t="s">
        <v>53</v>
      </c>
      <c r="B801" t="s">
        <v>2061</v>
      </c>
      <c r="C801">
        <v>20</v>
      </c>
      <c r="D801" t="s">
        <v>158</v>
      </c>
      <c r="E801" t="s">
        <v>2107</v>
      </c>
      <c r="F801" t="s">
        <v>2108</v>
      </c>
      <c r="G801" t="s">
        <v>2109</v>
      </c>
      <c r="H801" t="s">
        <v>340</v>
      </c>
      <c r="I801">
        <v>180</v>
      </c>
      <c r="J801">
        <v>36</v>
      </c>
      <c r="K801">
        <v>5</v>
      </c>
      <c r="L801" t="s">
        <v>142</v>
      </c>
    </row>
    <row r="802" spans="1:12" x14ac:dyDescent="0.3">
      <c r="A802" t="s">
        <v>53</v>
      </c>
      <c r="B802" t="s">
        <v>2061</v>
      </c>
      <c r="C802">
        <v>21</v>
      </c>
      <c r="D802" t="s">
        <v>163</v>
      </c>
      <c r="E802" t="s">
        <v>2110</v>
      </c>
      <c r="F802" t="s">
        <v>2111</v>
      </c>
      <c r="G802" t="s">
        <v>2070</v>
      </c>
      <c r="H802" t="s">
        <v>2061</v>
      </c>
      <c r="I802">
        <v>176</v>
      </c>
      <c r="J802">
        <v>14</v>
      </c>
      <c r="K802">
        <v>2</v>
      </c>
      <c r="L802" t="s">
        <v>142</v>
      </c>
    </row>
    <row r="803" spans="1:12" x14ac:dyDescent="0.3">
      <c r="A803" t="s">
        <v>53</v>
      </c>
      <c r="B803" t="s">
        <v>2061</v>
      </c>
      <c r="C803">
        <v>22</v>
      </c>
      <c r="D803" t="s">
        <v>137</v>
      </c>
      <c r="E803" t="s">
        <v>2112</v>
      </c>
      <c r="F803" t="s">
        <v>2113</v>
      </c>
      <c r="G803" t="s">
        <v>2070</v>
      </c>
      <c r="H803" t="s">
        <v>2061</v>
      </c>
      <c r="I803">
        <v>196</v>
      </c>
      <c r="J803">
        <v>7</v>
      </c>
      <c r="K803">
        <v>0</v>
      </c>
      <c r="L803" t="s">
        <v>142</v>
      </c>
    </row>
    <row r="804" spans="1:12" x14ac:dyDescent="0.3">
      <c r="A804" t="s">
        <v>53</v>
      </c>
      <c r="B804" t="s">
        <v>2061</v>
      </c>
      <c r="C804">
        <v>23</v>
      </c>
      <c r="D804" t="s">
        <v>158</v>
      </c>
      <c r="E804" t="s">
        <v>2114</v>
      </c>
      <c r="F804" t="s">
        <v>2115</v>
      </c>
      <c r="G804" t="s">
        <v>684</v>
      </c>
      <c r="H804" t="s">
        <v>162</v>
      </c>
      <c r="I804">
        <v>176</v>
      </c>
      <c r="J804">
        <v>28</v>
      </c>
      <c r="K804">
        <v>3</v>
      </c>
      <c r="L804" t="s">
        <v>142</v>
      </c>
    </row>
    <row r="805" spans="1:12" x14ac:dyDescent="0.3">
      <c r="A805" t="s">
        <v>53</v>
      </c>
      <c r="B805" t="s">
        <v>2061</v>
      </c>
      <c r="C805">
        <v>24</v>
      </c>
      <c r="D805" t="s">
        <v>143</v>
      </c>
      <c r="E805" t="s">
        <v>2116</v>
      </c>
      <c r="F805" t="s">
        <v>592</v>
      </c>
      <c r="G805" t="s">
        <v>2070</v>
      </c>
      <c r="H805" t="s">
        <v>2061</v>
      </c>
      <c r="I805">
        <v>177</v>
      </c>
      <c r="J805">
        <v>12</v>
      </c>
      <c r="K805">
        <v>0</v>
      </c>
      <c r="L805" t="s">
        <v>142</v>
      </c>
    </row>
    <row r="806" spans="1:12" x14ac:dyDescent="0.3">
      <c r="A806" t="s">
        <v>53</v>
      </c>
      <c r="B806" t="s">
        <v>2061</v>
      </c>
      <c r="C806">
        <v>25</v>
      </c>
      <c r="D806" t="s">
        <v>158</v>
      </c>
      <c r="E806" t="s">
        <v>2117</v>
      </c>
      <c r="F806" t="s">
        <v>2118</v>
      </c>
      <c r="G806" t="s">
        <v>2119</v>
      </c>
      <c r="H806" t="s">
        <v>301</v>
      </c>
      <c r="I806">
        <v>178</v>
      </c>
      <c r="J806">
        <v>4</v>
      </c>
      <c r="K806">
        <v>0</v>
      </c>
      <c r="L806" t="s">
        <v>142</v>
      </c>
    </row>
    <row r="807" spans="1:12" x14ac:dyDescent="0.3">
      <c r="A807" t="s">
        <v>53</v>
      </c>
      <c r="B807" t="s">
        <v>2061</v>
      </c>
      <c r="C807">
        <v>26</v>
      </c>
      <c r="D807" t="s">
        <v>143</v>
      </c>
      <c r="E807" t="s">
        <v>2120</v>
      </c>
      <c r="F807" t="s">
        <v>2121</v>
      </c>
      <c r="G807" t="s">
        <v>2122</v>
      </c>
      <c r="H807" t="s">
        <v>194</v>
      </c>
      <c r="I807">
        <v>188</v>
      </c>
      <c r="J807">
        <v>57</v>
      </c>
      <c r="K807">
        <v>2</v>
      </c>
      <c r="L807" t="s">
        <v>142</v>
      </c>
    </row>
    <row r="808" spans="1:12" x14ac:dyDescent="0.3">
      <c r="A808" t="s">
        <v>57</v>
      </c>
      <c r="B808" t="s">
        <v>1715</v>
      </c>
      <c r="C808">
        <v>1</v>
      </c>
      <c r="D808" t="s">
        <v>137</v>
      </c>
      <c r="E808" t="s">
        <v>2123</v>
      </c>
      <c r="F808" t="s">
        <v>2124</v>
      </c>
      <c r="G808" t="s">
        <v>2125</v>
      </c>
      <c r="H808" t="s">
        <v>219</v>
      </c>
      <c r="I808">
        <v>192</v>
      </c>
      <c r="J808">
        <v>76</v>
      </c>
      <c r="K808">
        <v>0</v>
      </c>
      <c r="L808" t="s">
        <v>142</v>
      </c>
    </row>
    <row r="809" spans="1:12" x14ac:dyDescent="0.3">
      <c r="A809" t="s">
        <v>57</v>
      </c>
      <c r="B809" t="s">
        <v>1715</v>
      </c>
      <c r="C809">
        <v>2</v>
      </c>
      <c r="D809" t="s">
        <v>158</v>
      </c>
      <c r="E809" t="s">
        <v>2126</v>
      </c>
      <c r="F809" t="s">
        <v>2127</v>
      </c>
      <c r="G809" t="s">
        <v>2128</v>
      </c>
      <c r="H809" t="s">
        <v>200</v>
      </c>
      <c r="I809">
        <v>188</v>
      </c>
      <c r="J809">
        <v>32</v>
      </c>
      <c r="K809">
        <v>0</v>
      </c>
      <c r="L809" t="s">
        <v>142</v>
      </c>
    </row>
    <row r="810" spans="1:12" x14ac:dyDescent="0.3">
      <c r="A810" t="s">
        <v>57</v>
      </c>
      <c r="B810" t="s">
        <v>1715</v>
      </c>
      <c r="C810">
        <v>3</v>
      </c>
      <c r="D810" t="s">
        <v>143</v>
      </c>
      <c r="E810" t="s">
        <v>2129</v>
      </c>
      <c r="F810" t="s">
        <v>2130</v>
      </c>
      <c r="G810" t="s">
        <v>650</v>
      </c>
      <c r="H810" t="s">
        <v>194</v>
      </c>
      <c r="I810">
        <v>198</v>
      </c>
      <c r="J810">
        <v>57</v>
      </c>
      <c r="K810">
        <v>2</v>
      </c>
      <c r="L810" t="s">
        <v>142</v>
      </c>
    </row>
    <row r="811" spans="1:12" x14ac:dyDescent="0.3">
      <c r="A811" t="s">
        <v>57</v>
      </c>
      <c r="B811" t="s">
        <v>1715</v>
      </c>
      <c r="C811">
        <v>4</v>
      </c>
      <c r="D811" t="s">
        <v>143</v>
      </c>
      <c r="E811" t="s">
        <v>2131</v>
      </c>
      <c r="F811" t="s">
        <v>2132</v>
      </c>
      <c r="G811" t="s">
        <v>1913</v>
      </c>
      <c r="H811" t="s">
        <v>200</v>
      </c>
      <c r="I811">
        <v>183</v>
      </c>
      <c r="J811">
        <v>43</v>
      </c>
      <c r="K811">
        <v>2</v>
      </c>
      <c r="L811" t="s">
        <v>142</v>
      </c>
    </row>
    <row r="812" spans="1:12" x14ac:dyDescent="0.3">
      <c r="A812" t="s">
        <v>57</v>
      </c>
      <c r="B812" t="s">
        <v>1715</v>
      </c>
      <c r="C812">
        <v>5</v>
      </c>
      <c r="D812" t="s">
        <v>143</v>
      </c>
      <c r="E812" t="s">
        <v>2133</v>
      </c>
      <c r="F812" t="s">
        <v>2134</v>
      </c>
      <c r="G812" t="s">
        <v>1152</v>
      </c>
      <c r="H812" t="s">
        <v>194</v>
      </c>
      <c r="I812">
        <v>185</v>
      </c>
      <c r="J812">
        <v>27</v>
      </c>
      <c r="K812">
        <v>1</v>
      </c>
      <c r="L812" t="s">
        <v>142</v>
      </c>
    </row>
    <row r="813" spans="1:12" x14ac:dyDescent="0.3">
      <c r="A813" t="s">
        <v>57</v>
      </c>
      <c r="B813" t="s">
        <v>1715</v>
      </c>
      <c r="C813">
        <v>6</v>
      </c>
      <c r="D813" t="s">
        <v>158</v>
      </c>
      <c r="E813" t="s">
        <v>2135</v>
      </c>
      <c r="F813" t="s">
        <v>2136</v>
      </c>
      <c r="G813" t="s">
        <v>2137</v>
      </c>
      <c r="H813" t="s">
        <v>1715</v>
      </c>
      <c r="I813">
        <v>178</v>
      </c>
      <c r="J813">
        <v>49</v>
      </c>
      <c r="K813">
        <v>0</v>
      </c>
      <c r="L813" t="s">
        <v>142</v>
      </c>
    </row>
    <row r="814" spans="1:12" x14ac:dyDescent="0.3">
      <c r="A814" t="s">
        <v>57</v>
      </c>
      <c r="B814" t="s">
        <v>1715</v>
      </c>
      <c r="C814">
        <v>7</v>
      </c>
      <c r="D814" t="s">
        <v>163</v>
      </c>
      <c r="E814" t="s">
        <v>2138</v>
      </c>
      <c r="F814" t="s">
        <v>503</v>
      </c>
      <c r="G814" t="s">
        <v>233</v>
      </c>
      <c r="H814" t="s">
        <v>219</v>
      </c>
      <c r="I814">
        <v>196</v>
      </c>
      <c r="J814">
        <v>77</v>
      </c>
      <c r="K814">
        <v>26</v>
      </c>
      <c r="L814" t="s">
        <v>142</v>
      </c>
    </row>
    <row r="815" spans="1:12" x14ac:dyDescent="0.3">
      <c r="A815" t="s">
        <v>57</v>
      </c>
      <c r="B815" t="s">
        <v>1715</v>
      </c>
      <c r="C815">
        <v>8</v>
      </c>
      <c r="D815" t="s">
        <v>158</v>
      </c>
      <c r="E815" t="s">
        <v>2139</v>
      </c>
      <c r="F815" t="s">
        <v>2140</v>
      </c>
      <c r="G815" t="s">
        <v>504</v>
      </c>
      <c r="H815" t="s">
        <v>194</v>
      </c>
      <c r="I815">
        <v>195</v>
      </c>
      <c r="J815">
        <v>71</v>
      </c>
      <c r="K815">
        <v>1</v>
      </c>
      <c r="L815" t="s">
        <v>142</v>
      </c>
    </row>
    <row r="816" spans="1:12" x14ac:dyDescent="0.3">
      <c r="A816" t="s">
        <v>57</v>
      </c>
      <c r="B816" t="s">
        <v>1715</v>
      </c>
      <c r="C816">
        <v>9</v>
      </c>
      <c r="D816" t="s">
        <v>163</v>
      </c>
      <c r="E816" t="s">
        <v>2141</v>
      </c>
      <c r="F816" t="s">
        <v>2142</v>
      </c>
      <c r="G816" t="s">
        <v>193</v>
      </c>
      <c r="H816" t="s">
        <v>194</v>
      </c>
      <c r="I816">
        <v>195</v>
      </c>
      <c r="J816">
        <v>55</v>
      </c>
      <c r="K816">
        <v>62</v>
      </c>
      <c r="L816" t="s">
        <v>142</v>
      </c>
    </row>
    <row r="817" spans="1:12" x14ac:dyDescent="0.3">
      <c r="A817" t="s">
        <v>57</v>
      </c>
      <c r="B817" t="s">
        <v>1715</v>
      </c>
      <c r="C817">
        <v>10</v>
      </c>
      <c r="D817" t="s">
        <v>158</v>
      </c>
      <c r="E817" t="s">
        <v>2143</v>
      </c>
      <c r="F817" t="s">
        <v>2144</v>
      </c>
      <c r="G817" t="s">
        <v>479</v>
      </c>
      <c r="H817" t="s">
        <v>194</v>
      </c>
      <c r="I817">
        <v>178</v>
      </c>
      <c r="J817">
        <v>73</v>
      </c>
      <c r="K817">
        <v>5</v>
      </c>
      <c r="L817" t="s">
        <v>142</v>
      </c>
    </row>
    <row r="818" spans="1:12" x14ac:dyDescent="0.3">
      <c r="A818" t="s">
        <v>57</v>
      </c>
      <c r="B818" t="s">
        <v>1715</v>
      </c>
      <c r="C818">
        <v>11</v>
      </c>
      <c r="D818" t="s">
        <v>163</v>
      </c>
      <c r="E818" t="s">
        <v>2145</v>
      </c>
      <c r="F818" t="s">
        <v>2146</v>
      </c>
      <c r="G818" t="s">
        <v>806</v>
      </c>
      <c r="H818" t="s">
        <v>194</v>
      </c>
      <c r="I818">
        <v>193</v>
      </c>
      <c r="J818">
        <v>30</v>
      </c>
      <c r="K818">
        <v>6</v>
      </c>
      <c r="L818" t="s">
        <v>142</v>
      </c>
    </row>
    <row r="819" spans="1:12" x14ac:dyDescent="0.3">
      <c r="A819" t="s">
        <v>57</v>
      </c>
      <c r="B819" t="s">
        <v>1715</v>
      </c>
      <c r="C819">
        <v>12</v>
      </c>
      <c r="D819" t="s">
        <v>137</v>
      </c>
      <c r="E819" t="s">
        <v>2147</v>
      </c>
      <c r="F819" t="s">
        <v>2148</v>
      </c>
      <c r="G819" t="s">
        <v>1055</v>
      </c>
      <c r="H819" t="s">
        <v>177</v>
      </c>
      <c r="I819">
        <v>193</v>
      </c>
      <c r="J819">
        <v>0</v>
      </c>
      <c r="K819">
        <v>0</v>
      </c>
      <c r="L819" t="s">
        <v>142</v>
      </c>
    </row>
    <row r="820" spans="1:12" x14ac:dyDescent="0.3">
      <c r="A820" t="s">
        <v>57</v>
      </c>
      <c r="B820" t="s">
        <v>1715</v>
      </c>
      <c r="C820">
        <v>13</v>
      </c>
      <c r="D820" t="s">
        <v>137</v>
      </c>
      <c r="E820" t="s">
        <v>2149</v>
      </c>
      <c r="F820" t="s">
        <v>2150</v>
      </c>
      <c r="G820" t="s">
        <v>354</v>
      </c>
      <c r="H820" t="s">
        <v>194</v>
      </c>
      <c r="I820">
        <v>187</v>
      </c>
      <c r="J820">
        <v>8</v>
      </c>
      <c r="K820">
        <v>0</v>
      </c>
      <c r="L820" t="s">
        <v>142</v>
      </c>
    </row>
    <row r="821" spans="1:12" x14ac:dyDescent="0.3">
      <c r="A821" t="s">
        <v>57</v>
      </c>
      <c r="B821" t="s">
        <v>1715</v>
      </c>
      <c r="C821">
        <v>14</v>
      </c>
      <c r="D821" t="s">
        <v>158</v>
      </c>
      <c r="E821" t="s">
        <v>2151</v>
      </c>
      <c r="F821" t="s">
        <v>2152</v>
      </c>
      <c r="G821" t="s">
        <v>280</v>
      </c>
      <c r="H821" t="s">
        <v>281</v>
      </c>
      <c r="I821">
        <v>181</v>
      </c>
      <c r="J821">
        <v>28</v>
      </c>
      <c r="K821">
        <v>1</v>
      </c>
      <c r="L821" t="s">
        <v>142</v>
      </c>
    </row>
    <row r="822" spans="1:12" x14ac:dyDescent="0.3">
      <c r="A822" t="s">
        <v>57</v>
      </c>
      <c r="B822" t="s">
        <v>1715</v>
      </c>
      <c r="C822">
        <v>15</v>
      </c>
      <c r="D822" t="s">
        <v>143</v>
      </c>
      <c r="E822" t="s">
        <v>2153</v>
      </c>
      <c r="F822" t="s">
        <v>1241</v>
      </c>
      <c r="G822" t="s">
        <v>2137</v>
      </c>
      <c r="H822" t="s">
        <v>1715</v>
      </c>
      <c r="I822">
        <v>180</v>
      </c>
      <c r="J822">
        <v>22</v>
      </c>
      <c r="K822">
        <v>1</v>
      </c>
      <c r="L822" t="s">
        <v>142</v>
      </c>
    </row>
    <row r="823" spans="1:12" x14ac:dyDescent="0.3">
      <c r="A823" t="s">
        <v>57</v>
      </c>
      <c r="B823" t="s">
        <v>1715</v>
      </c>
      <c r="C823">
        <v>16</v>
      </c>
      <c r="D823" t="s">
        <v>143</v>
      </c>
      <c r="E823" t="s">
        <v>2154</v>
      </c>
      <c r="F823" t="s">
        <v>2155</v>
      </c>
      <c r="G823" t="s">
        <v>1038</v>
      </c>
      <c r="H823" t="s">
        <v>200</v>
      </c>
      <c r="I823">
        <v>184</v>
      </c>
      <c r="J823">
        <v>36</v>
      </c>
      <c r="K823">
        <v>1</v>
      </c>
      <c r="L823" t="s">
        <v>142</v>
      </c>
    </row>
    <row r="824" spans="1:12" x14ac:dyDescent="0.3">
      <c r="A824" t="s">
        <v>57</v>
      </c>
      <c r="B824" t="s">
        <v>1715</v>
      </c>
      <c r="C824">
        <v>17</v>
      </c>
      <c r="D824" t="s">
        <v>143</v>
      </c>
      <c r="E824" t="s">
        <v>2156</v>
      </c>
      <c r="F824" t="s">
        <v>2157</v>
      </c>
      <c r="G824" t="s">
        <v>809</v>
      </c>
      <c r="H824" t="s">
        <v>200</v>
      </c>
      <c r="I824">
        <v>192</v>
      </c>
      <c r="J824">
        <v>20</v>
      </c>
      <c r="K824">
        <v>0</v>
      </c>
      <c r="L824" t="s">
        <v>142</v>
      </c>
    </row>
    <row r="825" spans="1:12" x14ac:dyDescent="0.3">
      <c r="A825" t="s">
        <v>57</v>
      </c>
      <c r="B825" t="s">
        <v>1715</v>
      </c>
      <c r="C825">
        <v>18</v>
      </c>
      <c r="D825" t="s">
        <v>158</v>
      </c>
      <c r="E825" t="s">
        <v>2158</v>
      </c>
      <c r="F825" t="s">
        <v>2159</v>
      </c>
      <c r="G825" t="s">
        <v>362</v>
      </c>
      <c r="H825" t="s">
        <v>200</v>
      </c>
      <c r="I825">
        <v>189</v>
      </c>
      <c r="J825">
        <v>39</v>
      </c>
      <c r="K825">
        <v>4</v>
      </c>
      <c r="L825" t="s">
        <v>142</v>
      </c>
    </row>
    <row r="826" spans="1:12" x14ac:dyDescent="0.3">
      <c r="A826" t="s">
        <v>57</v>
      </c>
      <c r="B826" t="s">
        <v>1715</v>
      </c>
      <c r="C826">
        <v>19</v>
      </c>
      <c r="D826" t="s">
        <v>158</v>
      </c>
      <c r="E826" t="s">
        <v>2160</v>
      </c>
      <c r="F826" t="s">
        <v>2161</v>
      </c>
      <c r="G826" t="s">
        <v>509</v>
      </c>
      <c r="H826" t="s">
        <v>347</v>
      </c>
      <c r="I826">
        <v>188</v>
      </c>
      <c r="J826">
        <v>9</v>
      </c>
      <c r="K826">
        <v>6</v>
      </c>
      <c r="L826" t="s">
        <v>142</v>
      </c>
    </row>
    <row r="827" spans="1:12" x14ac:dyDescent="0.3">
      <c r="A827" t="s">
        <v>57</v>
      </c>
      <c r="B827" t="s">
        <v>1715</v>
      </c>
      <c r="C827">
        <v>20</v>
      </c>
      <c r="D827" t="s">
        <v>163</v>
      </c>
      <c r="E827" t="s">
        <v>2162</v>
      </c>
      <c r="F827" t="s">
        <v>2163</v>
      </c>
      <c r="G827" t="s">
        <v>391</v>
      </c>
      <c r="H827" t="s">
        <v>177</v>
      </c>
      <c r="I827">
        <v>183</v>
      </c>
      <c r="J827">
        <v>30</v>
      </c>
      <c r="K827">
        <v>9</v>
      </c>
      <c r="L827" t="s">
        <v>142</v>
      </c>
    </row>
    <row r="828" spans="1:12" x14ac:dyDescent="0.3">
      <c r="A828" t="s">
        <v>57</v>
      </c>
      <c r="B828" t="s">
        <v>1715</v>
      </c>
      <c r="C828">
        <v>21</v>
      </c>
      <c r="D828" t="s">
        <v>158</v>
      </c>
      <c r="E828" t="s">
        <v>2164</v>
      </c>
      <c r="F828" t="s">
        <v>2165</v>
      </c>
      <c r="G828" t="s">
        <v>280</v>
      </c>
      <c r="H828" t="s">
        <v>281</v>
      </c>
      <c r="I828">
        <v>177</v>
      </c>
      <c r="J828">
        <v>18</v>
      </c>
      <c r="K828">
        <v>2</v>
      </c>
      <c r="L828" t="s">
        <v>142</v>
      </c>
    </row>
    <row r="829" spans="1:12" x14ac:dyDescent="0.3">
      <c r="A829" t="s">
        <v>57</v>
      </c>
      <c r="B829" t="s">
        <v>1715</v>
      </c>
      <c r="C829">
        <v>22</v>
      </c>
      <c r="D829" t="s">
        <v>158</v>
      </c>
      <c r="E829" t="s">
        <v>2166</v>
      </c>
      <c r="F829" t="s">
        <v>1692</v>
      </c>
      <c r="G829" t="s">
        <v>504</v>
      </c>
      <c r="H829" t="s">
        <v>194</v>
      </c>
      <c r="I829">
        <v>177</v>
      </c>
      <c r="J829">
        <v>26</v>
      </c>
      <c r="K829">
        <v>2</v>
      </c>
      <c r="L829" t="s">
        <v>142</v>
      </c>
    </row>
    <row r="830" spans="1:12" x14ac:dyDescent="0.3">
      <c r="A830" t="s">
        <v>57</v>
      </c>
      <c r="B830" t="s">
        <v>1715</v>
      </c>
      <c r="C830">
        <v>23</v>
      </c>
      <c r="D830" t="s">
        <v>158</v>
      </c>
      <c r="E830" t="s">
        <v>2167</v>
      </c>
      <c r="F830" t="s">
        <v>2168</v>
      </c>
      <c r="G830" t="s">
        <v>2137</v>
      </c>
      <c r="H830" t="s">
        <v>1715</v>
      </c>
      <c r="I830">
        <v>184</v>
      </c>
      <c r="J830">
        <v>16</v>
      </c>
      <c r="K830">
        <v>1</v>
      </c>
      <c r="L830" t="s">
        <v>142</v>
      </c>
    </row>
    <row r="831" spans="1:12" x14ac:dyDescent="0.3">
      <c r="A831" t="s">
        <v>57</v>
      </c>
      <c r="B831" t="s">
        <v>1715</v>
      </c>
      <c r="C831">
        <v>24</v>
      </c>
      <c r="D831" t="s">
        <v>143</v>
      </c>
      <c r="E831" t="s">
        <v>2169</v>
      </c>
      <c r="F831" t="s">
        <v>2170</v>
      </c>
      <c r="G831" t="s">
        <v>2171</v>
      </c>
      <c r="H831" t="s">
        <v>194</v>
      </c>
      <c r="I831">
        <v>190</v>
      </c>
      <c r="J831">
        <v>4</v>
      </c>
      <c r="K831">
        <v>0</v>
      </c>
      <c r="L831" t="s">
        <v>142</v>
      </c>
    </row>
    <row r="832" spans="1:12" x14ac:dyDescent="0.3">
      <c r="A832" t="s">
        <v>57</v>
      </c>
      <c r="B832" t="s">
        <v>1715</v>
      </c>
      <c r="C832">
        <v>25</v>
      </c>
      <c r="D832" t="s">
        <v>143</v>
      </c>
      <c r="E832" t="s">
        <v>2172</v>
      </c>
      <c r="F832" t="s">
        <v>2173</v>
      </c>
      <c r="G832" t="s">
        <v>2077</v>
      </c>
      <c r="H832" t="s">
        <v>1715</v>
      </c>
      <c r="I832">
        <v>194</v>
      </c>
      <c r="J832">
        <v>2</v>
      </c>
      <c r="K832">
        <v>0</v>
      </c>
      <c r="L832" t="s">
        <v>142</v>
      </c>
    </row>
    <row r="833" spans="1:12" x14ac:dyDescent="0.3">
      <c r="A833" t="s">
        <v>57</v>
      </c>
      <c r="B833" t="s">
        <v>1715</v>
      </c>
      <c r="C833">
        <v>26</v>
      </c>
      <c r="D833" t="s">
        <v>163</v>
      </c>
      <c r="E833" t="s">
        <v>2174</v>
      </c>
      <c r="F833" t="s">
        <v>2175</v>
      </c>
      <c r="G833" t="s">
        <v>212</v>
      </c>
      <c r="H833" t="s">
        <v>177</v>
      </c>
      <c r="I833">
        <v>186</v>
      </c>
      <c r="J833">
        <v>47</v>
      </c>
      <c r="K833">
        <v>1</v>
      </c>
      <c r="L833" t="s">
        <v>142</v>
      </c>
    </row>
    <row r="834" spans="1:12" x14ac:dyDescent="0.3">
      <c r="A834" t="s">
        <v>68</v>
      </c>
      <c r="B834" t="s">
        <v>2176</v>
      </c>
      <c r="C834">
        <v>1</v>
      </c>
      <c r="D834" t="s">
        <v>137</v>
      </c>
      <c r="E834" t="s">
        <v>2177</v>
      </c>
      <c r="F834" t="s">
        <v>2178</v>
      </c>
      <c r="G834" t="s">
        <v>2179</v>
      </c>
      <c r="H834" t="s">
        <v>2180</v>
      </c>
      <c r="I834">
        <v>193</v>
      </c>
      <c r="J834">
        <v>56</v>
      </c>
      <c r="K834">
        <v>0</v>
      </c>
      <c r="L834" t="s">
        <v>142</v>
      </c>
    </row>
    <row r="835" spans="1:12" x14ac:dyDescent="0.3">
      <c r="A835" t="s">
        <v>68</v>
      </c>
      <c r="B835" t="s">
        <v>2176</v>
      </c>
      <c r="C835">
        <v>2</v>
      </c>
      <c r="D835" t="s">
        <v>143</v>
      </c>
      <c r="E835" t="s">
        <v>2181</v>
      </c>
      <c r="F835" t="s">
        <v>2182</v>
      </c>
      <c r="G835" t="s">
        <v>2183</v>
      </c>
      <c r="H835" t="s">
        <v>1594</v>
      </c>
      <c r="I835">
        <v>174</v>
      </c>
      <c r="J835">
        <v>42</v>
      </c>
      <c r="K835">
        <v>3</v>
      </c>
      <c r="L835" t="s">
        <v>142</v>
      </c>
    </row>
    <row r="836" spans="1:12" x14ac:dyDescent="0.3">
      <c r="A836" t="s">
        <v>68</v>
      </c>
      <c r="B836" t="s">
        <v>2176</v>
      </c>
      <c r="C836">
        <v>3</v>
      </c>
      <c r="D836" t="s">
        <v>143</v>
      </c>
      <c r="E836" t="s">
        <v>2184</v>
      </c>
      <c r="F836" t="s">
        <v>2185</v>
      </c>
      <c r="G836" t="s">
        <v>330</v>
      </c>
      <c r="H836" t="s">
        <v>194</v>
      </c>
      <c r="I836">
        <v>189</v>
      </c>
      <c r="J836">
        <v>35</v>
      </c>
      <c r="K836">
        <v>1</v>
      </c>
      <c r="L836" t="s">
        <v>142</v>
      </c>
    </row>
    <row r="837" spans="1:12" x14ac:dyDescent="0.3">
      <c r="A837" t="s">
        <v>68</v>
      </c>
      <c r="B837" t="s">
        <v>2176</v>
      </c>
      <c r="C837">
        <v>4</v>
      </c>
      <c r="D837" t="s">
        <v>143</v>
      </c>
      <c r="E837" t="s">
        <v>2186</v>
      </c>
      <c r="F837" t="s">
        <v>1009</v>
      </c>
      <c r="G837" t="s">
        <v>2187</v>
      </c>
      <c r="H837" t="s">
        <v>2188</v>
      </c>
      <c r="I837">
        <v>184</v>
      </c>
      <c r="J837">
        <v>100</v>
      </c>
      <c r="K837">
        <v>4</v>
      </c>
      <c r="L837" t="s">
        <v>142</v>
      </c>
    </row>
    <row r="838" spans="1:12" x14ac:dyDescent="0.3">
      <c r="A838" t="s">
        <v>68</v>
      </c>
      <c r="B838" t="s">
        <v>2176</v>
      </c>
      <c r="C838">
        <v>5</v>
      </c>
      <c r="D838" t="s">
        <v>143</v>
      </c>
      <c r="E838" t="s">
        <v>2189</v>
      </c>
      <c r="F838" t="s">
        <v>2190</v>
      </c>
      <c r="G838" t="s">
        <v>2191</v>
      </c>
      <c r="H838" t="s">
        <v>629</v>
      </c>
      <c r="I838">
        <v>195</v>
      </c>
      <c r="J838">
        <v>18</v>
      </c>
      <c r="K838">
        <v>0</v>
      </c>
      <c r="L838" t="s">
        <v>142</v>
      </c>
    </row>
    <row r="839" spans="1:12" x14ac:dyDescent="0.3">
      <c r="A839" t="s">
        <v>68</v>
      </c>
      <c r="B839" t="s">
        <v>2176</v>
      </c>
      <c r="C839">
        <v>6</v>
      </c>
      <c r="D839" t="s">
        <v>158</v>
      </c>
      <c r="E839" t="s">
        <v>2192</v>
      </c>
      <c r="F839" t="s">
        <v>2193</v>
      </c>
      <c r="G839" t="s">
        <v>2194</v>
      </c>
      <c r="H839" t="s">
        <v>733</v>
      </c>
      <c r="I839">
        <v>170</v>
      </c>
      <c r="J839">
        <v>70</v>
      </c>
      <c r="K839">
        <v>2</v>
      </c>
      <c r="L839" t="s">
        <v>142</v>
      </c>
    </row>
    <row r="840" spans="1:12" x14ac:dyDescent="0.3">
      <c r="A840" t="s">
        <v>68</v>
      </c>
      <c r="B840" t="s">
        <v>2176</v>
      </c>
      <c r="C840">
        <v>7</v>
      </c>
      <c r="D840" t="s">
        <v>158</v>
      </c>
      <c r="E840" t="s">
        <v>2195</v>
      </c>
      <c r="F840" t="s">
        <v>2196</v>
      </c>
      <c r="G840" t="s">
        <v>2197</v>
      </c>
      <c r="H840" t="s">
        <v>831</v>
      </c>
      <c r="I840">
        <v>180</v>
      </c>
      <c r="J840">
        <v>73</v>
      </c>
      <c r="K840">
        <v>8</v>
      </c>
      <c r="L840" t="s">
        <v>142</v>
      </c>
    </row>
    <row r="841" spans="1:12" x14ac:dyDescent="0.3">
      <c r="A841" t="s">
        <v>68</v>
      </c>
      <c r="B841" t="s">
        <v>2176</v>
      </c>
      <c r="C841">
        <v>8</v>
      </c>
      <c r="D841" t="s">
        <v>158</v>
      </c>
      <c r="E841" t="s">
        <v>2198</v>
      </c>
      <c r="F841" t="s">
        <v>583</v>
      </c>
      <c r="G841" t="s">
        <v>1229</v>
      </c>
      <c r="H841" t="s">
        <v>831</v>
      </c>
      <c r="I841">
        <v>171</v>
      </c>
      <c r="J841">
        <v>73</v>
      </c>
      <c r="K841">
        <v>3</v>
      </c>
      <c r="L841" t="s">
        <v>142</v>
      </c>
    </row>
    <row r="842" spans="1:12" x14ac:dyDescent="0.3">
      <c r="A842" t="s">
        <v>68</v>
      </c>
      <c r="B842" t="s">
        <v>2176</v>
      </c>
      <c r="C842">
        <v>9</v>
      </c>
      <c r="D842" t="s">
        <v>163</v>
      </c>
      <c r="E842" t="s">
        <v>2199</v>
      </c>
      <c r="F842" t="s">
        <v>1547</v>
      </c>
      <c r="G842" t="s">
        <v>2187</v>
      </c>
      <c r="H842" t="s">
        <v>2188</v>
      </c>
      <c r="I842">
        <v>183</v>
      </c>
      <c r="J842">
        <v>15</v>
      </c>
      <c r="K842">
        <v>4</v>
      </c>
      <c r="L842" t="s">
        <v>142</v>
      </c>
    </row>
    <row r="843" spans="1:12" x14ac:dyDescent="0.3">
      <c r="A843" t="s">
        <v>68</v>
      </c>
      <c r="B843" t="s">
        <v>2176</v>
      </c>
      <c r="C843">
        <v>10</v>
      </c>
      <c r="D843" t="s">
        <v>158</v>
      </c>
      <c r="E843" t="s">
        <v>2200</v>
      </c>
      <c r="F843" t="s">
        <v>2051</v>
      </c>
      <c r="G843" t="s">
        <v>2201</v>
      </c>
      <c r="H843" t="s">
        <v>831</v>
      </c>
      <c r="I843">
        <v>184</v>
      </c>
      <c r="J843">
        <v>58</v>
      </c>
      <c r="K843">
        <v>17</v>
      </c>
      <c r="L843" t="s">
        <v>142</v>
      </c>
    </row>
    <row r="844" spans="1:12" x14ac:dyDescent="0.3">
      <c r="A844" t="s">
        <v>68</v>
      </c>
      <c r="B844" t="s">
        <v>2176</v>
      </c>
      <c r="C844">
        <v>11</v>
      </c>
      <c r="D844" t="s">
        <v>158</v>
      </c>
      <c r="E844" t="s">
        <v>2202</v>
      </c>
      <c r="F844" t="s">
        <v>631</v>
      </c>
      <c r="G844" t="s">
        <v>2203</v>
      </c>
      <c r="H844" t="s">
        <v>831</v>
      </c>
      <c r="I844">
        <v>175</v>
      </c>
      <c r="J844">
        <v>107</v>
      </c>
      <c r="K844">
        <v>10</v>
      </c>
      <c r="L844" t="s">
        <v>142</v>
      </c>
    </row>
    <row r="845" spans="1:12" x14ac:dyDescent="0.3">
      <c r="A845" t="s">
        <v>68</v>
      </c>
      <c r="B845" t="s">
        <v>2176</v>
      </c>
      <c r="C845">
        <v>12</v>
      </c>
      <c r="D845" t="s">
        <v>137</v>
      </c>
      <c r="E845" t="s">
        <v>2204</v>
      </c>
      <c r="F845" t="s">
        <v>2205</v>
      </c>
      <c r="G845" t="s">
        <v>2206</v>
      </c>
      <c r="H845" t="s">
        <v>2207</v>
      </c>
      <c r="I845">
        <v>189</v>
      </c>
      <c r="J845">
        <v>5</v>
      </c>
      <c r="K845">
        <v>0</v>
      </c>
      <c r="L845" t="s">
        <v>142</v>
      </c>
    </row>
    <row r="846" spans="1:12" x14ac:dyDescent="0.3">
      <c r="A846" t="s">
        <v>68</v>
      </c>
      <c r="B846" t="s">
        <v>2176</v>
      </c>
      <c r="C846">
        <v>13</v>
      </c>
      <c r="D846" t="s">
        <v>143</v>
      </c>
      <c r="E846" t="s">
        <v>2208</v>
      </c>
      <c r="F846" t="s">
        <v>2209</v>
      </c>
      <c r="G846" t="s">
        <v>2210</v>
      </c>
      <c r="H846" t="s">
        <v>2211</v>
      </c>
      <c r="I846">
        <v>188</v>
      </c>
      <c r="J846">
        <v>25</v>
      </c>
      <c r="K846">
        <v>2</v>
      </c>
      <c r="L846" t="s">
        <v>142</v>
      </c>
    </row>
    <row r="847" spans="1:12" x14ac:dyDescent="0.3">
      <c r="A847" t="s">
        <v>68</v>
      </c>
      <c r="B847" t="s">
        <v>2176</v>
      </c>
      <c r="C847">
        <v>14</v>
      </c>
      <c r="D847" t="s">
        <v>143</v>
      </c>
      <c r="E847" t="s">
        <v>2212</v>
      </c>
      <c r="F847" t="s">
        <v>2213</v>
      </c>
      <c r="G847" t="s">
        <v>825</v>
      </c>
      <c r="H847" t="s">
        <v>25</v>
      </c>
      <c r="I847">
        <v>184</v>
      </c>
      <c r="J847">
        <v>31</v>
      </c>
      <c r="K847">
        <v>3</v>
      </c>
      <c r="L847" t="s">
        <v>142</v>
      </c>
    </row>
    <row r="848" spans="1:12" x14ac:dyDescent="0.3">
      <c r="A848" t="s">
        <v>68</v>
      </c>
      <c r="B848" t="s">
        <v>2176</v>
      </c>
      <c r="C848">
        <v>15</v>
      </c>
      <c r="D848" t="s">
        <v>143</v>
      </c>
      <c r="E848" t="s">
        <v>2214</v>
      </c>
      <c r="F848" t="s">
        <v>2215</v>
      </c>
      <c r="G848" t="s">
        <v>2216</v>
      </c>
      <c r="H848" t="s">
        <v>2176</v>
      </c>
      <c r="I848">
        <v>180</v>
      </c>
      <c r="J848">
        <v>109</v>
      </c>
      <c r="K848">
        <v>9</v>
      </c>
      <c r="L848" t="s">
        <v>142</v>
      </c>
    </row>
    <row r="849" spans="1:12" x14ac:dyDescent="0.3">
      <c r="A849" t="s">
        <v>68</v>
      </c>
      <c r="B849" t="s">
        <v>2176</v>
      </c>
      <c r="C849">
        <v>16</v>
      </c>
      <c r="D849" t="s">
        <v>143</v>
      </c>
      <c r="E849" t="s">
        <v>2217</v>
      </c>
      <c r="F849" t="s">
        <v>2218</v>
      </c>
      <c r="G849" t="s">
        <v>421</v>
      </c>
      <c r="H849" t="s">
        <v>315</v>
      </c>
      <c r="I849">
        <v>187</v>
      </c>
      <c r="J849">
        <v>53</v>
      </c>
      <c r="K849">
        <v>1</v>
      </c>
      <c r="L849" t="s">
        <v>142</v>
      </c>
    </row>
    <row r="850" spans="1:12" x14ac:dyDescent="0.3">
      <c r="A850" t="s">
        <v>68</v>
      </c>
      <c r="B850" t="s">
        <v>2176</v>
      </c>
      <c r="C850">
        <v>17</v>
      </c>
      <c r="D850" t="s">
        <v>163</v>
      </c>
      <c r="E850" t="s">
        <v>2219</v>
      </c>
      <c r="F850" t="s">
        <v>2220</v>
      </c>
      <c r="G850" t="s">
        <v>2221</v>
      </c>
      <c r="H850" t="s">
        <v>1192</v>
      </c>
      <c r="I850">
        <v>184</v>
      </c>
      <c r="J850">
        <v>72</v>
      </c>
      <c r="K850">
        <v>17</v>
      </c>
      <c r="L850" t="s">
        <v>142</v>
      </c>
    </row>
    <row r="851" spans="1:12" x14ac:dyDescent="0.3">
      <c r="A851" t="s">
        <v>68</v>
      </c>
      <c r="B851" t="s">
        <v>2176</v>
      </c>
      <c r="C851">
        <v>18</v>
      </c>
      <c r="D851" t="s">
        <v>163</v>
      </c>
      <c r="E851" t="s">
        <v>2222</v>
      </c>
      <c r="F851" t="s">
        <v>2223</v>
      </c>
      <c r="G851" t="s">
        <v>2224</v>
      </c>
      <c r="H851" t="s">
        <v>2225</v>
      </c>
      <c r="I851">
        <v>180</v>
      </c>
      <c r="J851">
        <v>57</v>
      </c>
      <c r="K851">
        <v>15</v>
      </c>
      <c r="L851" t="s">
        <v>142</v>
      </c>
    </row>
    <row r="852" spans="1:12" x14ac:dyDescent="0.3">
      <c r="A852" t="s">
        <v>68</v>
      </c>
      <c r="B852" t="s">
        <v>2176</v>
      </c>
      <c r="C852">
        <v>19</v>
      </c>
      <c r="D852" t="s">
        <v>158</v>
      </c>
      <c r="E852" t="s">
        <v>2226</v>
      </c>
      <c r="F852" t="s">
        <v>2227</v>
      </c>
      <c r="G852" t="s">
        <v>2216</v>
      </c>
      <c r="H852" t="s">
        <v>2176</v>
      </c>
      <c r="I852">
        <v>165</v>
      </c>
      <c r="J852">
        <v>142</v>
      </c>
      <c r="K852">
        <v>7</v>
      </c>
      <c r="L852" t="s">
        <v>142</v>
      </c>
    </row>
    <row r="853" spans="1:12" x14ac:dyDescent="0.3">
      <c r="A853" t="s">
        <v>68</v>
      </c>
      <c r="B853" t="s">
        <v>2176</v>
      </c>
      <c r="C853">
        <v>20</v>
      </c>
      <c r="D853" t="s">
        <v>158</v>
      </c>
      <c r="E853" t="s">
        <v>2228</v>
      </c>
      <c r="F853" t="s">
        <v>2229</v>
      </c>
      <c r="G853" t="s">
        <v>722</v>
      </c>
      <c r="H853" t="s">
        <v>25</v>
      </c>
      <c r="I853">
        <v>184</v>
      </c>
      <c r="J853">
        <v>160</v>
      </c>
      <c r="K853">
        <v>4</v>
      </c>
      <c r="L853" t="s">
        <v>142</v>
      </c>
    </row>
    <row r="854" spans="1:12" x14ac:dyDescent="0.3">
      <c r="A854" t="s">
        <v>68</v>
      </c>
      <c r="B854" t="s">
        <v>2176</v>
      </c>
      <c r="C854">
        <v>21</v>
      </c>
      <c r="D854" t="s">
        <v>158</v>
      </c>
      <c r="E854" t="s">
        <v>2230</v>
      </c>
      <c r="F854" t="s">
        <v>2231</v>
      </c>
      <c r="G854" t="s">
        <v>2232</v>
      </c>
      <c r="H854" t="s">
        <v>2225</v>
      </c>
      <c r="I854">
        <v>160</v>
      </c>
      <c r="J854">
        <v>55</v>
      </c>
      <c r="K854">
        <v>5</v>
      </c>
      <c r="L854" t="s">
        <v>142</v>
      </c>
    </row>
    <row r="855" spans="1:12" x14ac:dyDescent="0.3">
      <c r="A855" t="s">
        <v>68</v>
      </c>
      <c r="B855" t="s">
        <v>2176</v>
      </c>
      <c r="C855">
        <v>22</v>
      </c>
      <c r="D855" t="s">
        <v>137</v>
      </c>
      <c r="E855" t="s">
        <v>2233</v>
      </c>
      <c r="F855" t="s">
        <v>2234</v>
      </c>
      <c r="G855" t="s">
        <v>2235</v>
      </c>
      <c r="H855" t="s">
        <v>167</v>
      </c>
      <c r="I855">
        <v>191</v>
      </c>
      <c r="J855">
        <v>52</v>
      </c>
      <c r="K855">
        <v>0</v>
      </c>
      <c r="L855" t="s">
        <v>142</v>
      </c>
    </row>
    <row r="856" spans="1:12" x14ac:dyDescent="0.3">
      <c r="A856" t="s">
        <v>68</v>
      </c>
      <c r="B856" t="s">
        <v>2176</v>
      </c>
      <c r="C856">
        <v>23</v>
      </c>
      <c r="D856" t="s">
        <v>143</v>
      </c>
      <c r="E856" t="s">
        <v>2236</v>
      </c>
      <c r="F856" t="s">
        <v>1422</v>
      </c>
      <c r="G856" t="s">
        <v>993</v>
      </c>
      <c r="H856" t="s">
        <v>523</v>
      </c>
      <c r="I856">
        <v>185</v>
      </c>
      <c r="J856">
        <v>96</v>
      </c>
      <c r="K856">
        <v>9</v>
      </c>
      <c r="L856" t="s">
        <v>142</v>
      </c>
    </row>
    <row r="857" spans="1:12" x14ac:dyDescent="0.3">
      <c r="A857" t="s">
        <v>68</v>
      </c>
      <c r="B857" t="s">
        <v>2176</v>
      </c>
      <c r="C857">
        <v>24</v>
      </c>
      <c r="D857" t="s">
        <v>163</v>
      </c>
      <c r="E857" t="s">
        <v>2237</v>
      </c>
      <c r="F857" t="s">
        <v>707</v>
      </c>
      <c r="G857" t="s">
        <v>2221</v>
      </c>
      <c r="H857" t="s">
        <v>1192</v>
      </c>
      <c r="I857">
        <v>185</v>
      </c>
      <c r="J857">
        <v>15</v>
      </c>
      <c r="K857">
        <v>1</v>
      </c>
      <c r="L857" t="s">
        <v>142</v>
      </c>
    </row>
    <row r="858" spans="1:12" x14ac:dyDescent="0.3">
      <c r="A858" t="s">
        <v>68</v>
      </c>
      <c r="B858" t="s">
        <v>2176</v>
      </c>
      <c r="C858">
        <v>25</v>
      </c>
      <c r="D858" t="s">
        <v>143</v>
      </c>
      <c r="E858" t="s">
        <v>2238</v>
      </c>
      <c r="F858" t="s">
        <v>2239</v>
      </c>
      <c r="G858" t="s">
        <v>2240</v>
      </c>
      <c r="H858" t="s">
        <v>2241</v>
      </c>
      <c r="I858">
        <v>190</v>
      </c>
      <c r="J858">
        <v>49</v>
      </c>
      <c r="K858">
        <v>2</v>
      </c>
      <c r="L858" t="s">
        <v>142</v>
      </c>
    </row>
    <row r="859" spans="1:12" x14ac:dyDescent="0.3">
      <c r="A859" t="s">
        <v>68</v>
      </c>
      <c r="B859" t="s">
        <v>2176</v>
      </c>
      <c r="C859">
        <v>26</v>
      </c>
      <c r="D859" t="s">
        <v>143</v>
      </c>
      <c r="E859" t="s">
        <v>2242</v>
      </c>
      <c r="F859" t="s">
        <v>2243</v>
      </c>
      <c r="G859" t="s">
        <v>2244</v>
      </c>
      <c r="H859" t="s">
        <v>2211</v>
      </c>
      <c r="I859">
        <v>171</v>
      </c>
      <c r="J859">
        <v>19</v>
      </c>
      <c r="K859">
        <v>0</v>
      </c>
      <c r="L859" t="s">
        <v>142</v>
      </c>
    </row>
    <row r="860" spans="1:12" x14ac:dyDescent="0.3">
      <c r="A860" t="s">
        <v>26</v>
      </c>
      <c r="B860" t="s">
        <v>2245</v>
      </c>
      <c r="C860">
        <v>1</v>
      </c>
      <c r="D860" t="s">
        <v>137</v>
      </c>
      <c r="E860" t="s">
        <v>2246</v>
      </c>
      <c r="F860" t="s">
        <v>2247</v>
      </c>
      <c r="G860" t="s">
        <v>2248</v>
      </c>
      <c r="H860" t="s">
        <v>2245</v>
      </c>
      <c r="I860">
        <v>191</v>
      </c>
      <c r="J860">
        <v>30</v>
      </c>
      <c r="K860">
        <v>0</v>
      </c>
      <c r="L860" t="s">
        <v>142</v>
      </c>
    </row>
    <row r="861" spans="1:12" x14ac:dyDescent="0.3">
      <c r="A861" t="s">
        <v>26</v>
      </c>
      <c r="B861" t="s">
        <v>2245</v>
      </c>
      <c r="C861">
        <v>2</v>
      </c>
      <c r="D861" t="s">
        <v>143</v>
      </c>
      <c r="E861" t="s">
        <v>2249</v>
      </c>
      <c r="F861" t="s">
        <v>2250</v>
      </c>
      <c r="G861" t="s">
        <v>2248</v>
      </c>
      <c r="H861" t="s">
        <v>2245</v>
      </c>
      <c r="I861">
        <v>189</v>
      </c>
      <c r="J861">
        <v>18</v>
      </c>
      <c r="K861">
        <v>1</v>
      </c>
      <c r="L861" t="s">
        <v>142</v>
      </c>
    </row>
    <row r="862" spans="1:12" x14ac:dyDescent="0.3">
      <c r="A862" t="s">
        <v>26</v>
      </c>
      <c r="B862" t="s">
        <v>2245</v>
      </c>
      <c r="C862">
        <v>3</v>
      </c>
      <c r="D862" t="s">
        <v>143</v>
      </c>
      <c r="E862" t="s">
        <v>2251</v>
      </c>
      <c r="F862" t="s">
        <v>2252</v>
      </c>
      <c r="G862" t="s">
        <v>910</v>
      </c>
      <c r="H862" t="s">
        <v>194</v>
      </c>
      <c r="I862">
        <v>190</v>
      </c>
      <c r="J862">
        <v>40</v>
      </c>
      <c r="K862">
        <v>3</v>
      </c>
      <c r="L862" t="s">
        <v>142</v>
      </c>
    </row>
    <row r="863" spans="1:12" x14ac:dyDescent="0.3">
      <c r="A863" t="s">
        <v>26</v>
      </c>
      <c r="B863" t="s">
        <v>2245</v>
      </c>
      <c r="C863">
        <v>4</v>
      </c>
      <c r="D863" t="s">
        <v>143</v>
      </c>
      <c r="E863" t="s">
        <v>2253</v>
      </c>
      <c r="F863" t="s">
        <v>2254</v>
      </c>
      <c r="G863" t="s">
        <v>1957</v>
      </c>
      <c r="H863" t="s">
        <v>629</v>
      </c>
      <c r="I863">
        <v>187</v>
      </c>
      <c r="J863">
        <v>22</v>
      </c>
      <c r="K863">
        <v>0</v>
      </c>
      <c r="L863" t="s">
        <v>142</v>
      </c>
    </row>
    <row r="864" spans="1:12" x14ac:dyDescent="0.3">
      <c r="A864" t="s">
        <v>26</v>
      </c>
      <c r="B864" t="s">
        <v>2245</v>
      </c>
      <c r="C864">
        <v>5</v>
      </c>
      <c r="D864" t="s">
        <v>143</v>
      </c>
      <c r="E864" t="s">
        <v>2255</v>
      </c>
      <c r="F864" t="s">
        <v>2256</v>
      </c>
      <c r="G864" t="s">
        <v>618</v>
      </c>
      <c r="H864" t="s">
        <v>288</v>
      </c>
      <c r="I864">
        <v>188</v>
      </c>
      <c r="J864">
        <v>48</v>
      </c>
      <c r="K864">
        <v>2</v>
      </c>
      <c r="L864" t="s">
        <v>142</v>
      </c>
    </row>
    <row r="865" spans="1:12" x14ac:dyDescent="0.3">
      <c r="A865" t="s">
        <v>26</v>
      </c>
      <c r="B865" t="s">
        <v>2245</v>
      </c>
      <c r="C865">
        <v>6</v>
      </c>
      <c r="D865" t="s">
        <v>143</v>
      </c>
      <c r="E865" t="s">
        <v>2257</v>
      </c>
      <c r="F865" t="s">
        <v>2258</v>
      </c>
      <c r="G865" t="s">
        <v>1226</v>
      </c>
      <c r="H865" t="s">
        <v>288</v>
      </c>
      <c r="I865">
        <v>184</v>
      </c>
      <c r="J865">
        <v>76</v>
      </c>
      <c r="K865">
        <v>3</v>
      </c>
      <c r="L865" t="s">
        <v>142</v>
      </c>
    </row>
    <row r="866" spans="1:12" x14ac:dyDescent="0.3">
      <c r="A866" t="s">
        <v>26</v>
      </c>
      <c r="B866" t="s">
        <v>2245</v>
      </c>
      <c r="C866">
        <v>7</v>
      </c>
      <c r="D866" t="s">
        <v>158</v>
      </c>
      <c r="E866" t="s">
        <v>2259</v>
      </c>
      <c r="F866" t="s">
        <v>2260</v>
      </c>
      <c r="G866" t="s">
        <v>287</v>
      </c>
      <c r="H866" t="s">
        <v>288</v>
      </c>
      <c r="I866">
        <v>178</v>
      </c>
      <c r="J866">
        <v>30</v>
      </c>
      <c r="K866">
        <v>1</v>
      </c>
      <c r="L866" t="s">
        <v>142</v>
      </c>
    </row>
    <row r="867" spans="1:12" x14ac:dyDescent="0.3">
      <c r="A867" t="s">
        <v>26</v>
      </c>
      <c r="B867" t="s">
        <v>2245</v>
      </c>
      <c r="C867">
        <v>8</v>
      </c>
      <c r="D867" t="s">
        <v>158</v>
      </c>
      <c r="E867" t="s">
        <v>2261</v>
      </c>
      <c r="F867" t="s">
        <v>2262</v>
      </c>
      <c r="G867" t="s">
        <v>466</v>
      </c>
      <c r="H867" t="s">
        <v>194</v>
      </c>
      <c r="I867">
        <v>183</v>
      </c>
      <c r="J867">
        <v>28</v>
      </c>
      <c r="K867">
        <v>3</v>
      </c>
      <c r="L867" t="s">
        <v>142</v>
      </c>
    </row>
    <row r="868" spans="1:12" x14ac:dyDescent="0.3">
      <c r="A868" t="s">
        <v>26</v>
      </c>
      <c r="B868" t="s">
        <v>2245</v>
      </c>
      <c r="C868">
        <v>9</v>
      </c>
      <c r="D868" t="s">
        <v>163</v>
      </c>
      <c r="E868" t="s">
        <v>2263</v>
      </c>
      <c r="F868" t="s">
        <v>2264</v>
      </c>
      <c r="G868" t="s">
        <v>2128</v>
      </c>
      <c r="H868" t="s">
        <v>200</v>
      </c>
      <c r="I868">
        <v>180</v>
      </c>
      <c r="J868">
        <v>50</v>
      </c>
      <c r="K868">
        <v>7</v>
      </c>
      <c r="L868" t="s">
        <v>142</v>
      </c>
    </row>
    <row r="869" spans="1:12" x14ac:dyDescent="0.3">
      <c r="A869" t="s">
        <v>26</v>
      </c>
      <c r="B869" t="s">
        <v>2245</v>
      </c>
      <c r="C869">
        <v>10</v>
      </c>
      <c r="D869" t="s">
        <v>158</v>
      </c>
      <c r="E869" t="s">
        <v>2265</v>
      </c>
      <c r="F869" t="s">
        <v>2266</v>
      </c>
      <c r="G869" t="s">
        <v>2267</v>
      </c>
      <c r="H869" t="s">
        <v>25</v>
      </c>
      <c r="I869">
        <v>178</v>
      </c>
      <c r="J869">
        <v>80</v>
      </c>
      <c r="K869">
        <v>10</v>
      </c>
      <c r="L869" t="s">
        <v>142</v>
      </c>
    </row>
    <row r="870" spans="1:12" x14ac:dyDescent="0.3">
      <c r="A870" t="s">
        <v>26</v>
      </c>
      <c r="B870" t="s">
        <v>2245</v>
      </c>
      <c r="C870">
        <v>11</v>
      </c>
      <c r="D870" t="s">
        <v>158</v>
      </c>
      <c r="E870" t="s">
        <v>2268</v>
      </c>
      <c r="F870" t="s">
        <v>2269</v>
      </c>
      <c r="G870" t="s">
        <v>287</v>
      </c>
      <c r="H870" t="s">
        <v>288</v>
      </c>
      <c r="I870">
        <v>175</v>
      </c>
      <c r="J870">
        <v>7</v>
      </c>
      <c r="K870">
        <v>1</v>
      </c>
      <c r="L870" t="s">
        <v>142</v>
      </c>
    </row>
    <row r="871" spans="1:12" x14ac:dyDescent="0.3">
      <c r="A871" t="s">
        <v>26</v>
      </c>
      <c r="B871" t="s">
        <v>2245</v>
      </c>
      <c r="C871">
        <v>12</v>
      </c>
      <c r="D871" t="s">
        <v>137</v>
      </c>
      <c r="E871" t="s">
        <v>2270</v>
      </c>
      <c r="F871" t="s">
        <v>2271</v>
      </c>
      <c r="G871" t="s">
        <v>2272</v>
      </c>
      <c r="H871" t="s">
        <v>230</v>
      </c>
      <c r="I871">
        <v>190</v>
      </c>
      <c r="J871">
        <v>11</v>
      </c>
      <c r="K871">
        <v>0</v>
      </c>
      <c r="L871" t="s">
        <v>142</v>
      </c>
    </row>
    <row r="872" spans="1:12" x14ac:dyDescent="0.3">
      <c r="A872" t="s">
        <v>26</v>
      </c>
      <c r="B872" t="s">
        <v>2245</v>
      </c>
      <c r="C872">
        <v>13</v>
      </c>
      <c r="D872" t="s">
        <v>143</v>
      </c>
      <c r="E872" t="s">
        <v>2273</v>
      </c>
      <c r="F872" t="s">
        <v>1420</v>
      </c>
      <c r="G872" t="s">
        <v>2274</v>
      </c>
      <c r="H872" t="s">
        <v>230</v>
      </c>
      <c r="I872">
        <v>192</v>
      </c>
      <c r="J872">
        <v>6</v>
      </c>
      <c r="K872">
        <v>0</v>
      </c>
      <c r="L872" t="s">
        <v>142</v>
      </c>
    </row>
    <row r="873" spans="1:12" x14ac:dyDescent="0.3">
      <c r="A873" t="s">
        <v>26</v>
      </c>
      <c r="B873" t="s">
        <v>2245</v>
      </c>
      <c r="C873">
        <v>14</v>
      </c>
      <c r="D873" t="s">
        <v>158</v>
      </c>
      <c r="E873" t="s">
        <v>2275</v>
      </c>
      <c r="F873" t="s">
        <v>2276</v>
      </c>
      <c r="G873" t="s">
        <v>2277</v>
      </c>
      <c r="H873" t="s">
        <v>734</v>
      </c>
      <c r="I873">
        <v>166</v>
      </c>
      <c r="J873">
        <v>38</v>
      </c>
      <c r="K873">
        <v>0</v>
      </c>
      <c r="L873" t="s">
        <v>142</v>
      </c>
    </row>
    <row r="874" spans="1:12" x14ac:dyDescent="0.3">
      <c r="A874" t="s">
        <v>26</v>
      </c>
      <c r="B874" t="s">
        <v>2245</v>
      </c>
      <c r="C874">
        <v>15</v>
      </c>
      <c r="D874" t="s">
        <v>143</v>
      </c>
      <c r="E874" t="s">
        <v>2278</v>
      </c>
      <c r="F874" t="s">
        <v>2279</v>
      </c>
      <c r="G874" t="s">
        <v>287</v>
      </c>
      <c r="H874" t="s">
        <v>288</v>
      </c>
      <c r="I874">
        <v>179</v>
      </c>
      <c r="J874">
        <v>94</v>
      </c>
      <c r="K874">
        <v>4</v>
      </c>
      <c r="L874" t="s">
        <v>142</v>
      </c>
    </row>
    <row r="875" spans="1:12" x14ac:dyDescent="0.3">
      <c r="A875" t="s">
        <v>26</v>
      </c>
      <c r="B875" t="s">
        <v>2245</v>
      </c>
      <c r="C875">
        <v>16</v>
      </c>
      <c r="D875" t="s">
        <v>158</v>
      </c>
      <c r="E875" t="s">
        <v>2280</v>
      </c>
      <c r="F875" t="s">
        <v>2281</v>
      </c>
      <c r="G875" t="s">
        <v>2282</v>
      </c>
      <c r="H875" t="s">
        <v>288</v>
      </c>
      <c r="I875">
        <v>180</v>
      </c>
      <c r="J875">
        <v>23</v>
      </c>
      <c r="K875">
        <v>1</v>
      </c>
      <c r="L875" t="s">
        <v>142</v>
      </c>
    </row>
    <row r="876" spans="1:12" x14ac:dyDescent="0.3">
      <c r="A876" t="s">
        <v>26</v>
      </c>
      <c r="B876" t="s">
        <v>2245</v>
      </c>
      <c r="C876">
        <v>17</v>
      </c>
      <c r="D876" t="s">
        <v>163</v>
      </c>
      <c r="E876" t="s">
        <v>2283</v>
      </c>
      <c r="F876" t="s">
        <v>2284</v>
      </c>
      <c r="G876" t="s">
        <v>1266</v>
      </c>
      <c r="H876" t="s">
        <v>663</v>
      </c>
      <c r="I876">
        <v>165</v>
      </c>
      <c r="J876">
        <v>35</v>
      </c>
      <c r="K876">
        <v>6</v>
      </c>
      <c r="L876" t="s">
        <v>142</v>
      </c>
    </row>
    <row r="877" spans="1:12" x14ac:dyDescent="0.3">
      <c r="A877" t="s">
        <v>26</v>
      </c>
      <c r="B877" t="s">
        <v>2245</v>
      </c>
      <c r="C877">
        <v>18</v>
      </c>
      <c r="D877" t="s">
        <v>163</v>
      </c>
      <c r="E877" t="s">
        <v>2285</v>
      </c>
      <c r="F877" t="s">
        <v>2286</v>
      </c>
      <c r="G877" t="s">
        <v>2287</v>
      </c>
      <c r="H877" t="s">
        <v>230</v>
      </c>
      <c r="I877">
        <v>188</v>
      </c>
      <c r="J877">
        <v>17</v>
      </c>
      <c r="K877">
        <v>1</v>
      </c>
      <c r="L877" t="s">
        <v>142</v>
      </c>
    </row>
    <row r="878" spans="1:12" x14ac:dyDescent="0.3">
      <c r="A878" t="s">
        <v>26</v>
      </c>
      <c r="B878" t="s">
        <v>2245</v>
      </c>
      <c r="C878">
        <v>19</v>
      </c>
      <c r="D878" t="s">
        <v>163</v>
      </c>
      <c r="E878" t="s">
        <v>2288</v>
      </c>
      <c r="F878" t="s">
        <v>2289</v>
      </c>
      <c r="G878" t="s">
        <v>254</v>
      </c>
      <c r="H878" t="s">
        <v>147</v>
      </c>
      <c r="I878">
        <v>168</v>
      </c>
      <c r="J878">
        <v>37</v>
      </c>
      <c r="K878">
        <v>5</v>
      </c>
      <c r="L878" t="s">
        <v>142</v>
      </c>
    </row>
    <row r="879" spans="1:12" x14ac:dyDescent="0.3">
      <c r="A879" t="s">
        <v>26</v>
      </c>
      <c r="B879" t="s">
        <v>2245</v>
      </c>
      <c r="C879">
        <v>20</v>
      </c>
      <c r="D879" t="s">
        <v>158</v>
      </c>
      <c r="E879" t="s">
        <v>2290</v>
      </c>
      <c r="F879" t="s">
        <v>2291</v>
      </c>
      <c r="G879" t="s">
        <v>773</v>
      </c>
      <c r="H879" t="s">
        <v>25</v>
      </c>
      <c r="I879">
        <v>173</v>
      </c>
      <c r="J879">
        <v>18</v>
      </c>
      <c r="K879">
        <v>0</v>
      </c>
      <c r="L879" t="s">
        <v>142</v>
      </c>
    </row>
    <row r="880" spans="1:12" x14ac:dyDescent="0.3">
      <c r="A880" t="s">
        <v>26</v>
      </c>
      <c r="B880" t="s">
        <v>2245</v>
      </c>
      <c r="C880">
        <v>21</v>
      </c>
      <c r="D880" t="s">
        <v>163</v>
      </c>
      <c r="E880" t="s">
        <v>2292</v>
      </c>
      <c r="F880" t="s">
        <v>2293</v>
      </c>
      <c r="G880" t="s">
        <v>812</v>
      </c>
      <c r="H880" t="s">
        <v>230</v>
      </c>
      <c r="I880">
        <v>185</v>
      </c>
      <c r="J880">
        <v>27</v>
      </c>
      <c r="K880">
        <v>2</v>
      </c>
      <c r="L880" t="s">
        <v>142</v>
      </c>
    </row>
    <row r="881" spans="1:12" x14ac:dyDescent="0.3">
      <c r="A881" t="s">
        <v>26</v>
      </c>
      <c r="B881" t="s">
        <v>2245</v>
      </c>
      <c r="C881">
        <v>22</v>
      </c>
      <c r="D881" t="s">
        <v>137</v>
      </c>
      <c r="E881" t="s">
        <v>2294</v>
      </c>
      <c r="F881" t="s">
        <v>2295</v>
      </c>
      <c r="G881" t="s">
        <v>2296</v>
      </c>
      <c r="H881" t="s">
        <v>2245</v>
      </c>
      <c r="I881">
        <v>191</v>
      </c>
      <c r="J881">
        <v>1</v>
      </c>
      <c r="K881">
        <v>0</v>
      </c>
      <c r="L881" t="s">
        <v>142</v>
      </c>
    </row>
    <row r="882" spans="1:12" x14ac:dyDescent="0.3">
      <c r="A882" t="s">
        <v>26</v>
      </c>
      <c r="B882" t="s">
        <v>2245</v>
      </c>
      <c r="C882">
        <v>23</v>
      </c>
      <c r="D882" t="s">
        <v>158</v>
      </c>
      <c r="E882" t="s">
        <v>2297</v>
      </c>
      <c r="F882" t="s">
        <v>179</v>
      </c>
      <c r="G882" t="s">
        <v>2267</v>
      </c>
      <c r="H882" t="s">
        <v>25</v>
      </c>
      <c r="I882">
        <v>175</v>
      </c>
      <c r="J882">
        <v>19</v>
      </c>
      <c r="K882">
        <v>4</v>
      </c>
      <c r="L882" t="s">
        <v>142</v>
      </c>
    </row>
    <row r="883" spans="1:12" x14ac:dyDescent="0.3">
      <c r="A883" t="s">
        <v>26</v>
      </c>
      <c r="B883" t="s">
        <v>2245</v>
      </c>
      <c r="C883">
        <v>24</v>
      </c>
      <c r="D883" t="s">
        <v>158</v>
      </c>
      <c r="E883" t="s">
        <v>2298</v>
      </c>
      <c r="F883" t="s">
        <v>2299</v>
      </c>
      <c r="G883" t="s">
        <v>2300</v>
      </c>
      <c r="H883" t="s">
        <v>194</v>
      </c>
      <c r="I883">
        <v>189</v>
      </c>
      <c r="J883">
        <v>4</v>
      </c>
      <c r="K883">
        <v>1</v>
      </c>
      <c r="L883" t="s">
        <v>142</v>
      </c>
    </row>
    <row r="884" spans="1:12" x14ac:dyDescent="0.3">
      <c r="A884" t="s">
        <v>26</v>
      </c>
      <c r="B884" t="s">
        <v>2245</v>
      </c>
      <c r="C884">
        <v>25</v>
      </c>
      <c r="D884" t="s">
        <v>163</v>
      </c>
      <c r="E884" t="s">
        <v>2301</v>
      </c>
      <c r="F884" t="s">
        <v>2302</v>
      </c>
      <c r="G884" t="s">
        <v>2303</v>
      </c>
      <c r="H884" t="s">
        <v>288</v>
      </c>
      <c r="I884">
        <v>185</v>
      </c>
      <c r="J884">
        <v>6</v>
      </c>
      <c r="K884">
        <v>0</v>
      </c>
      <c r="L884" t="s">
        <v>142</v>
      </c>
    </row>
    <row r="885" spans="1:12" x14ac:dyDescent="0.3">
      <c r="A885" t="s">
        <v>26</v>
      </c>
      <c r="B885" t="s">
        <v>2245</v>
      </c>
      <c r="C885">
        <v>26</v>
      </c>
      <c r="D885" t="s">
        <v>143</v>
      </c>
      <c r="E885" t="s">
        <v>2304</v>
      </c>
      <c r="F885" t="s">
        <v>2305</v>
      </c>
      <c r="G885" t="s">
        <v>2306</v>
      </c>
      <c r="H885" t="s">
        <v>230</v>
      </c>
      <c r="I885">
        <v>173</v>
      </c>
      <c r="J885">
        <v>4</v>
      </c>
      <c r="K885">
        <v>1</v>
      </c>
      <c r="L885" t="s">
        <v>142</v>
      </c>
    </row>
    <row r="886" spans="1:12" x14ac:dyDescent="0.3">
      <c r="A886" t="s">
        <v>63</v>
      </c>
      <c r="B886" t="s">
        <v>281</v>
      </c>
      <c r="C886">
        <v>1</v>
      </c>
      <c r="D886" t="s">
        <v>137</v>
      </c>
      <c r="E886" t="s">
        <v>2307</v>
      </c>
      <c r="F886" t="s">
        <v>2308</v>
      </c>
      <c r="G886" t="s">
        <v>962</v>
      </c>
      <c r="H886" t="s">
        <v>281</v>
      </c>
      <c r="I886">
        <v>188</v>
      </c>
      <c r="J886">
        <v>48</v>
      </c>
      <c r="K886">
        <v>0</v>
      </c>
      <c r="L886" t="s">
        <v>142</v>
      </c>
    </row>
    <row r="887" spans="1:12" x14ac:dyDescent="0.3">
      <c r="A887" t="s">
        <v>63</v>
      </c>
      <c r="B887" t="s">
        <v>281</v>
      </c>
      <c r="C887">
        <v>2</v>
      </c>
      <c r="D887" t="s">
        <v>143</v>
      </c>
      <c r="E887" t="s">
        <v>2309</v>
      </c>
      <c r="F887" t="s">
        <v>2310</v>
      </c>
      <c r="G887" t="s">
        <v>645</v>
      </c>
      <c r="H887" t="s">
        <v>523</v>
      </c>
      <c r="I887">
        <v>179</v>
      </c>
      <c r="J887">
        <v>54</v>
      </c>
      <c r="K887">
        <v>0</v>
      </c>
      <c r="L887" t="s">
        <v>142</v>
      </c>
    </row>
    <row r="888" spans="1:12" x14ac:dyDescent="0.3">
      <c r="A888" t="s">
        <v>63</v>
      </c>
      <c r="B888" t="s">
        <v>281</v>
      </c>
      <c r="C888">
        <v>3</v>
      </c>
      <c r="D888" t="s">
        <v>143</v>
      </c>
      <c r="E888" t="s">
        <v>2311</v>
      </c>
      <c r="F888" t="s">
        <v>393</v>
      </c>
      <c r="G888" t="s">
        <v>193</v>
      </c>
      <c r="H888" t="s">
        <v>194</v>
      </c>
      <c r="I888">
        <v>187</v>
      </c>
      <c r="J888">
        <v>80</v>
      </c>
      <c r="K888">
        <v>3</v>
      </c>
      <c r="L888" t="s">
        <v>142</v>
      </c>
    </row>
    <row r="889" spans="1:12" x14ac:dyDescent="0.3">
      <c r="A889" t="s">
        <v>63</v>
      </c>
      <c r="B889" t="s">
        <v>281</v>
      </c>
      <c r="C889">
        <v>4</v>
      </c>
      <c r="D889" t="s">
        <v>143</v>
      </c>
      <c r="E889" t="s">
        <v>2312</v>
      </c>
      <c r="F889" t="s">
        <v>2024</v>
      </c>
      <c r="G889" t="s">
        <v>280</v>
      </c>
      <c r="H889" t="s">
        <v>281</v>
      </c>
      <c r="I889">
        <v>187</v>
      </c>
      <c r="J889">
        <v>6</v>
      </c>
      <c r="K889">
        <v>0</v>
      </c>
      <c r="L889" t="s">
        <v>142</v>
      </c>
    </row>
    <row r="890" spans="1:12" x14ac:dyDescent="0.3">
      <c r="A890" t="s">
        <v>63</v>
      </c>
      <c r="B890" t="s">
        <v>281</v>
      </c>
      <c r="C890">
        <v>5</v>
      </c>
      <c r="D890" t="s">
        <v>143</v>
      </c>
      <c r="E890" t="s">
        <v>2313</v>
      </c>
      <c r="F890" t="s">
        <v>2314</v>
      </c>
      <c r="G890" t="s">
        <v>248</v>
      </c>
      <c r="H890" t="s">
        <v>194</v>
      </c>
      <c r="I890">
        <v>184</v>
      </c>
      <c r="J890">
        <v>37</v>
      </c>
      <c r="K890">
        <v>3</v>
      </c>
      <c r="L890" t="s">
        <v>142</v>
      </c>
    </row>
    <row r="891" spans="1:12" x14ac:dyDescent="0.3">
      <c r="A891" t="s">
        <v>63</v>
      </c>
      <c r="B891" t="s">
        <v>281</v>
      </c>
      <c r="C891">
        <v>6</v>
      </c>
      <c r="D891" t="s">
        <v>158</v>
      </c>
      <c r="E891" t="s">
        <v>2315</v>
      </c>
      <c r="F891" t="s">
        <v>2316</v>
      </c>
      <c r="G891" t="s">
        <v>193</v>
      </c>
      <c r="H891" t="s">
        <v>194</v>
      </c>
      <c r="I891">
        <v>183</v>
      </c>
      <c r="J891">
        <v>21</v>
      </c>
      <c r="K891">
        <v>2</v>
      </c>
      <c r="L891" t="s">
        <v>142</v>
      </c>
    </row>
    <row r="892" spans="1:12" x14ac:dyDescent="0.3">
      <c r="A892" t="s">
        <v>63</v>
      </c>
      <c r="B892" t="s">
        <v>281</v>
      </c>
      <c r="C892">
        <v>7</v>
      </c>
      <c r="D892" t="s">
        <v>163</v>
      </c>
      <c r="E892" t="s">
        <v>2317</v>
      </c>
      <c r="F892" t="s">
        <v>2318</v>
      </c>
      <c r="G892" t="s">
        <v>2319</v>
      </c>
      <c r="H892" t="s">
        <v>167</v>
      </c>
      <c r="I892">
        <v>185</v>
      </c>
      <c r="J892">
        <v>233</v>
      </c>
      <c r="K892">
        <v>146</v>
      </c>
      <c r="L892" t="s">
        <v>142</v>
      </c>
    </row>
    <row r="893" spans="1:12" x14ac:dyDescent="0.3">
      <c r="A893" t="s">
        <v>63</v>
      </c>
      <c r="B893" t="s">
        <v>281</v>
      </c>
      <c r="C893">
        <v>8</v>
      </c>
      <c r="D893" t="s">
        <v>158</v>
      </c>
      <c r="E893" t="s">
        <v>2320</v>
      </c>
      <c r="F893" t="s">
        <v>2321</v>
      </c>
      <c r="G893" t="s">
        <v>248</v>
      </c>
      <c r="H893" t="s">
        <v>194</v>
      </c>
      <c r="I893">
        <v>183</v>
      </c>
      <c r="J893">
        <v>94</v>
      </c>
      <c r="K893">
        <v>29</v>
      </c>
      <c r="L893" t="s">
        <v>142</v>
      </c>
    </row>
    <row r="894" spans="1:12" x14ac:dyDescent="0.3">
      <c r="A894" t="s">
        <v>63</v>
      </c>
      <c r="B894" t="s">
        <v>281</v>
      </c>
      <c r="C894">
        <v>9</v>
      </c>
      <c r="D894" t="s">
        <v>163</v>
      </c>
      <c r="E894" t="s">
        <v>2322</v>
      </c>
      <c r="F894" t="s">
        <v>2323</v>
      </c>
      <c r="G894" t="s">
        <v>597</v>
      </c>
      <c r="H894" t="s">
        <v>147</v>
      </c>
      <c r="I894">
        <v>185</v>
      </c>
      <c r="J894">
        <v>27</v>
      </c>
      <c r="K894">
        <v>11</v>
      </c>
      <c r="L894" t="s">
        <v>142</v>
      </c>
    </row>
    <row r="895" spans="1:12" x14ac:dyDescent="0.3">
      <c r="A895" t="s">
        <v>63</v>
      </c>
      <c r="B895" t="s">
        <v>281</v>
      </c>
      <c r="C895">
        <v>10</v>
      </c>
      <c r="D895" t="s">
        <v>158</v>
      </c>
      <c r="E895" t="s">
        <v>2324</v>
      </c>
      <c r="F895" t="s">
        <v>2325</v>
      </c>
      <c r="G895" t="s">
        <v>193</v>
      </c>
      <c r="H895" t="s">
        <v>194</v>
      </c>
      <c r="I895">
        <v>173</v>
      </c>
      <c r="J895">
        <v>113</v>
      </c>
      <c r="K895">
        <v>14</v>
      </c>
      <c r="L895" t="s">
        <v>142</v>
      </c>
    </row>
    <row r="896" spans="1:12" x14ac:dyDescent="0.3">
      <c r="A896" t="s">
        <v>63</v>
      </c>
      <c r="B896" t="s">
        <v>281</v>
      </c>
      <c r="C896">
        <v>11</v>
      </c>
      <c r="D896" t="s">
        <v>163</v>
      </c>
      <c r="E896" t="s">
        <v>2326</v>
      </c>
      <c r="F896" t="s">
        <v>2327</v>
      </c>
      <c r="G896" t="s">
        <v>2319</v>
      </c>
      <c r="H896" t="s">
        <v>167</v>
      </c>
      <c r="I896">
        <v>179</v>
      </c>
      <c r="J896">
        <v>57</v>
      </c>
      <c r="K896">
        <v>12</v>
      </c>
      <c r="L896" t="s">
        <v>142</v>
      </c>
    </row>
    <row r="897" spans="1:12" x14ac:dyDescent="0.3">
      <c r="A897" t="s">
        <v>63</v>
      </c>
      <c r="B897" t="s">
        <v>281</v>
      </c>
      <c r="C897">
        <v>12</v>
      </c>
      <c r="D897" t="s">
        <v>137</v>
      </c>
      <c r="E897" t="s">
        <v>2328</v>
      </c>
      <c r="F897" t="s">
        <v>2329</v>
      </c>
      <c r="G897" t="s">
        <v>1152</v>
      </c>
      <c r="H897" t="s">
        <v>194</v>
      </c>
      <c r="I897">
        <v>192</v>
      </c>
      <c r="J897">
        <v>5</v>
      </c>
      <c r="K897">
        <v>0</v>
      </c>
      <c r="L897" t="s">
        <v>142</v>
      </c>
    </row>
    <row r="898" spans="1:12" x14ac:dyDescent="0.3">
      <c r="A898" t="s">
        <v>63</v>
      </c>
      <c r="B898" t="s">
        <v>281</v>
      </c>
      <c r="C898">
        <v>13</v>
      </c>
      <c r="D898" t="s">
        <v>143</v>
      </c>
      <c r="E898" t="s">
        <v>2330</v>
      </c>
      <c r="F898" t="s">
        <v>1897</v>
      </c>
      <c r="G898" t="s">
        <v>670</v>
      </c>
      <c r="H898" t="s">
        <v>219</v>
      </c>
      <c r="I898">
        <v>188</v>
      </c>
      <c r="J898">
        <v>18</v>
      </c>
      <c r="K898">
        <v>1</v>
      </c>
      <c r="L898" t="s">
        <v>142</v>
      </c>
    </row>
    <row r="899" spans="1:12" x14ac:dyDescent="0.3">
      <c r="A899" t="s">
        <v>63</v>
      </c>
      <c r="B899" t="s">
        <v>281</v>
      </c>
      <c r="C899">
        <v>14</v>
      </c>
      <c r="D899" t="s">
        <v>143</v>
      </c>
      <c r="E899" t="s">
        <v>2331</v>
      </c>
      <c r="F899" t="s">
        <v>1876</v>
      </c>
      <c r="G899" t="s">
        <v>458</v>
      </c>
      <c r="H899" t="s">
        <v>281</v>
      </c>
      <c r="I899">
        <v>185</v>
      </c>
      <c r="J899">
        <v>22</v>
      </c>
      <c r="K899">
        <v>2</v>
      </c>
      <c r="L899" t="s">
        <v>142</v>
      </c>
    </row>
    <row r="900" spans="1:12" x14ac:dyDescent="0.3">
      <c r="A900" t="s">
        <v>63</v>
      </c>
      <c r="B900" t="s">
        <v>281</v>
      </c>
      <c r="C900">
        <v>15</v>
      </c>
      <c r="D900" t="s">
        <v>158</v>
      </c>
      <c r="E900" t="s">
        <v>2332</v>
      </c>
      <c r="F900" t="s">
        <v>2333</v>
      </c>
      <c r="G900" t="s">
        <v>597</v>
      </c>
      <c r="H900" t="s">
        <v>147</v>
      </c>
      <c r="I900">
        <v>171</v>
      </c>
      <c r="J900">
        <v>27</v>
      </c>
      <c r="K900">
        <v>4</v>
      </c>
      <c r="L900" t="s">
        <v>142</v>
      </c>
    </row>
    <row r="901" spans="1:12" x14ac:dyDescent="0.3">
      <c r="A901" t="s">
        <v>63</v>
      </c>
      <c r="B901" t="s">
        <v>281</v>
      </c>
      <c r="C901">
        <v>16</v>
      </c>
      <c r="D901" t="s">
        <v>163</v>
      </c>
      <c r="E901" t="s">
        <v>2334</v>
      </c>
      <c r="F901" t="s">
        <v>2335</v>
      </c>
      <c r="G901" t="s">
        <v>458</v>
      </c>
      <c r="H901" t="s">
        <v>281</v>
      </c>
      <c r="I901">
        <v>184</v>
      </c>
      <c r="J901">
        <v>19</v>
      </c>
      <c r="K901">
        <v>3</v>
      </c>
      <c r="L901" t="s">
        <v>142</v>
      </c>
    </row>
    <row r="902" spans="1:12" x14ac:dyDescent="0.3">
      <c r="A902" t="s">
        <v>63</v>
      </c>
      <c r="B902" t="s">
        <v>281</v>
      </c>
      <c r="C902">
        <v>17</v>
      </c>
      <c r="D902" t="s">
        <v>163</v>
      </c>
      <c r="E902" t="s">
        <v>2336</v>
      </c>
      <c r="F902" t="s">
        <v>2337</v>
      </c>
      <c r="G902" t="s">
        <v>492</v>
      </c>
      <c r="H902" t="s">
        <v>200</v>
      </c>
      <c r="I902">
        <v>188</v>
      </c>
      <c r="J902">
        <v>49</v>
      </c>
      <c r="K902">
        <v>6</v>
      </c>
      <c r="L902" t="s">
        <v>142</v>
      </c>
    </row>
    <row r="903" spans="1:12" x14ac:dyDescent="0.3">
      <c r="A903" t="s">
        <v>63</v>
      </c>
      <c r="B903" t="s">
        <v>281</v>
      </c>
      <c r="C903">
        <v>18</v>
      </c>
      <c r="D903" t="s">
        <v>163</v>
      </c>
      <c r="E903" t="s">
        <v>2338</v>
      </c>
      <c r="F903" t="s">
        <v>2339</v>
      </c>
      <c r="G903" t="s">
        <v>297</v>
      </c>
      <c r="H903" t="s">
        <v>194</v>
      </c>
      <c r="I903">
        <v>174</v>
      </c>
      <c r="J903">
        <v>30</v>
      </c>
      <c r="K903">
        <v>3</v>
      </c>
      <c r="L903" t="s">
        <v>142</v>
      </c>
    </row>
    <row r="904" spans="1:12" x14ac:dyDescent="0.3">
      <c r="A904" t="s">
        <v>63</v>
      </c>
      <c r="B904" t="s">
        <v>281</v>
      </c>
      <c r="C904">
        <v>19</v>
      </c>
      <c r="D904" t="s">
        <v>163</v>
      </c>
      <c r="E904" t="s">
        <v>2340</v>
      </c>
      <c r="F904" t="s">
        <v>1467</v>
      </c>
      <c r="G904" t="s">
        <v>1020</v>
      </c>
      <c r="H904" t="s">
        <v>219</v>
      </c>
      <c r="I904">
        <v>179</v>
      </c>
      <c r="J904">
        <v>35</v>
      </c>
      <c r="K904">
        <v>8</v>
      </c>
      <c r="L904" t="s">
        <v>142</v>
      </c>
    </row>
    <row r="905" spans="1:12" x14ac:dyDescent="0.3">
      <c r="A905" t="s">
        <v>63</v>
      </c>
      <c r="B905" t="s">
        <v>281</v>
      </c>
      <c r="C905">
        <v>20</v>
      </c>
      <c r="D905" t="s">
        <v>143</v>
      </c>
      <c r="E905" t="s">
        <v>2341</v>
      </c>
      <c r="F905" t="s">
        <v>2342</v>
      </c>
      <c r="G905" t="s">
        <v>615</v>
      </c>
      <c r="H905" t="s">
        <v>219</v>
      </c>
      <c r="I905">
        <v>173</v>
      </c>
      <c r="J905">
        <v>73</v>
      </c>
      <c r="K905">
        <v>12</v>
      </c>
      <c r="L905" t="s">
        <v>142</v>
      </c>
    </row>
    <row r="906" spans="1:12" x14ac:dyDescent="0.3">
      <c r="A906" t="s">
        <v>63</v>
      </c>
      <c r="B906" t="s">
        <v>281</v>
      </c>
      <c r="C906">
        <v>21</v>
      </c>
      <c r="D906" t="s">
        <v>158</v>
      </c>
      <c r="E906" t="s">
        <v>2343</v>
      </c>
      <c r="F906" t="s">
        <v>2344</v>
      </c>
      <c r="G906" t="s">
        <v>1400</v>
      </c>
      <c r="H906" t="s">
        <v>167</v>
      </c>
      <c r="I906">
        <v>183</v>
      </c>
      <c r="J906">
        <v>69</v>
      </c>
      <c r="K906">
        <v>1</v>
      </c>
      <c r="L906" t="s">
        <v>142</v>
      </c>
    </row>
    <row r="907" spans="1:12" x14ac:dyDescent="0.3">
      <c r="A907" t="s">
        <v>63</v>
      </c>
      <c r="B907" t="s">
        <v>281</v>
      </c>
      <c r="C907">
        <v>22</v>
      </c>
      <c r="D907" t="s">
        <v>137</v>
      </c>
      <c r="E907" t="s">
        <v>2345</v>
      </c>
      <c r="F907" t="s">
        <v>452</v>
      </c>
      <c r="G907" t="s">
        <v>458</v>
      </c>
      <c r="H907" t="s">
        <v>281</v>
      </c>
      <c r="I907">
        <v>191</v>
      </c>
      <c r="J907">
        <v>3</v>
      </c>
      <c r="K907">
        <v>0</v>
      </c>
      <c r="L907" t="s">
        <v>142</v>
      </c>
    </row>
    <row r="908" spans="1:12" x14ac:dyDescent="0.3">
      <c r="A908" t="s">
        <v>63</v>
      </c>
      <c r="B908" t="s">
        <v>281</v>
      </c>
      <c r="C908">
        <v>23</v>
      </c>
      <c r="D908" t="s">
        <v>158</v>
      </c>
      <c r="E908" t="s">
        <v>2346</v>
      </c>
      <c r="F908" t="s">
        <v>2347</v>
      </c>
      <c r="G908" t="s">
        <v>597</v>
      </c>
      <c r="H908" t="s">
        <v>147</v>
      </c>
      <c r="I908">
        <v>170</v>
      </c>
      <c r="J908">
        <v>43</v>
      </c>
      <c r="K908">
        <v>0</v>
      </c>
      <c r="L908" t="s">
        <v>142</v>
      </c>
    </row>
    <row r="909" spans="1:12" x14ac:dyDescent="0.3">
      <c r="A909" t="s">
        <v>63</v>
      </c>
      <c r="B909" t="s">
        <v>281</v>
      </c>
      <c r="C909">
        <v>24</v>
      </c>
      <c r="D909" t="s">
        <v>143</v>
      </c>
      <c r="E909" t="s">
        <v>2348</v>
      </c>
      <c r="F909" t="s">
        <v>2349</v>
      </c>
      <c r="G909" t="s">
        <v>845</v>
      </c>
      <c r="H909" t="s">
        <v>219</v>
      </c>
      <c r="I909">
        <v>185</v>
      </c>
      <c r="J909">
        <v>7</v>
      </c>
      <c r="K909">
        <v>0</v>
      </c>
      <c r="L909" t="s">
        <v>142</v>
      </c>
    </row>
    <row r="910" spans="1:12" x14ac:dyDescent="0.3">
      <c r="A910" t="s">
        <v>63</v>
      </c>
      <c r="B910" t="s">
        <v>281</v>
      </c>
      <c r="C910">
        <v>25</v>
      </c>
      <c r="D910" t="s">
        <v>143</v>
      </c>
      <c r="E910" t="s">
        <v>2350</v>
      </c>
      <c r="F910" t="s">
        <v>2351</v>
      </c>
      <c r="G910" t="s">
        <v>597</v>
      </c>
      <c r="H910" t="s">
        <v>147</v>
      </c>
      <c r="I910">
        <v>177</v>
      </c>
      <c r="J910">
        <v>49</v>
      </c>
      <c r="K910">
        <v>2</v>
      </c>
      <c r="L910" t="s">
        <v>142</v>
      </c>
    </row>
    <row r="911" spans="1:12" x14ac:dyDescent="0.3">
      <c r="A911" t="s">
        <v>63</v>
      </c>
      <c r="B911" t="s">
        <v>281</v>
      </c>
      <c r="C911">
        <v>26</v>
      </c>
      <c r="D911" t="s">
        <v>163</v>
      </c>
      <c r="E911" t="s">
        <v>2352</v>
      </c>
      <c r="F911" t="s">
        <v>2353</v>
      </c>
      <c r="G911" t="s">
        <v>623</v>
      </c>
      <c r="H911" t="s">
        <v>200</v>
      </c>
      <c r="I911">
        <v>166</v>
      </c>
      <c r="J911">
        <v>21</v>
      </c>
      <c r="K911">
        <v>4</v>
      </c>
      <c r="L911" t="s">
        <v>142</v>
      </c>
    </row>
    <row r="912" spans="1:12" x14ac:dyDescent="0.3">
      <c r="A912" t="s">
        <v>27</v>
      </c>
      <c r="B912" t="s">
        <v>209</v>
      </c>
      <c r="C912">
        <v>1</v>
      </c>
      <c r="D912" t="s">
        <v>137</v>
      </c>
      <c r="E912" t="s">
        <v>2354</v>
      </c>
      <c r="F912" t="s">
        <v>2355</v>
      </c>
      <c r="G912" t="s">
        <v>2356</v>
      </c>
      <c r="H912" t="s">
        <v>209</v>
      </c>
      <c r="I912">
        <v>185</v>
      </c>
      <c r="J912">
        <v>9</v>
      </c>
      <c r="K912">
        <v>0</v>
      </c>
      <c r="L912" t="s">
        <v>142</v>
      </c>
    </row>
    <row r="913" spans="1:12" x14ac:dyDescent="0.3">
      <c r="A913" t="s">
        <v>27</v>
      </c>
      <c r="B913" t="s">
        <v>209</v>
      </c>
      <c r="C913">
        <v>2</v>
      </c>
      <c r="D913" t="s">
        <v>143</v>
      </c>
      <c r="E913" t="s">
        <v>2357</v>
      </c>
      <c r="F913" t="s">
        <v>2358</v>
      </c>
      <c r="G913" t="s">
        <v>2359</v>
      </c>
      <c r="H913" t="s">
        <v>209</v>
      </c>
      <c r="I913">
        <v>180</v>
      </c>
      <c r="J913">
        <v>114</v>
      </c>
      <c r="K913">
        <v>4</v>
      </c>
      <c r="L913" t="s">
        <v>142</v>
      </c>
    </row>
    <row r="914" spans="1:12" x14ac:dyDescent="0.3">
      <c r="A914" t="s">
        <v>27</v>
      </c>
      <c r="B914" t="s">
        <v>209</v>
      </c>
      <c r="C914">
        <v>3</v>
      </c>
      <c r="D914" t="s">
        <v>143</v>
      </c>
      <c r="E914" t="s">
        <v>2360</v>
      </c>
      <c r="F914" t="s">
        <v>2361</v>
      </c>
      <c r="G914" t="s">
        <v>1285</v>
      </c>
      <c r="H914" t="s">
        <v>209</v>
      </c>
      <c r="I914">
        <v>179</v>
      </c>
      <c r="J914">
        <v>29</v>
      </c>
      <c r="K914">
        <v>2</v>
      </c>
      <c r="L914" t="s">
        <v>142</v>
      </c>
    </row>
    <row r="915" spans="1:12" x14ac:dyDescent="0.3">
      <c r="A915" t="s">
        <v>27</v>
      </c>
      <c r="B915" t="s">
        <v>209</v>
      </c>
      <c r="C915">
        <v>4</v>
      </c>
      <c r="D915" t="s">
        <v>143</v>
      </c>
      <c r="E915" t="s">
        <v>2362</v>
      </c>
      <c r="F915" t="s">
        <v>2041</v>
      </c>
      <c r="G915" t="s">
        <v>2363</v>
      </c>
      <c r="H915" t="s">
        <v>209</v>
      </c>
      <c r="I915">
        <v>178</v>
      </c>
      <c r="J915">
        <v>7</v>
      </c>
      <c r="K915">
        <v>0</v>
      </c>
      <c r="L915" t="s">
        <v>142</v>
      </c>
    </row>
    <row r="916" spans="1:12" x14ac:dyDescent="0.3">
      <c r="A916" t="s">
        <v>27</v>
      </c>
      <c r="B916" t="s">
        <v>209</v>
      </c>
      <c r="C916">
        <v>5</v>
      </c>
      <c r="D916" t="s">
        <v>143</v>
      </c>
      <c r="E916" t="s">
        <v>2364</v>
      </c>
      <c r="F916" t="s">
        <v>2365</v>
      </c>
      <c r="G916" t="s">
        <v>2356</v>
      </c>
      <c r="H916" t="s">
        <v>209</v>
      </c>
      <c r="I916">
        <v>181</v>
      </c>
      <c r="J916">
        <v>40</v>
      </c>
      <c r="K916">
        <v>1</v>
      </c>
      <c r="L916" t="s">
        <v>142</v>
      </c>
    </row>
    <row r="917" spans="1:12" x14ac:dyDescent="0.3">
      <c r="A917" t="s">
        <v>27</v>
      </c>
      <c r="B917" t="s">
        <v>209</v>
      </c>
      <c r="C917">
        <v>6</v>
      </c>
      <c r="D917" t="s">
        <v>158</v>
      </c>
      <c r="E917" t="s">
        <v>2366</v>
      </c>
      <c r="F917" t="s">
        <v>2367</v>
      </c>
      <c r="G917" t="s">
        <v>2356</v>
      </c>
      <c r="H917" t="s">
        <v>209</v>
      </c>
      <c r="I917">
        <v>179</v>
      </c>
      <c r="J917">
        <v>133</v>
      </c>
      <c r="K917">
        <v>11</v>
      </c>
      <c r="L917" t="s">
        <v>142</v>
      </c>
    </row>
    <row r="918" spans="1:12" x14ac:dyDescent="0.3">
      <c r="A918" t="s">
        <v>27</v>
      </c>
      <c r="B918" t="s">
        <v>209</v>
      </c>
      <c r="C918">
        <v>7</v>
      </c>
      <c r="D918" t="s">
        <v>163</v>
      </c>
      <c r="E918" t="s">
        <v>2368</v>
      </c>
      <c r="F918" t="s">
        <v>2369</v>
      </c>
      <c r="G918" t="s">
        <v>2356</v>
      </c>
      <c r="H918" t="s">
        <v>209</v>
      </c>
      <c r="I918">
        <v>179</v>
      </c>
      <c r="J918">
        <v>79</v>
      </c>
      <c r="K918">
        <v>10</v>
      </c>
      <c r="L918" t="s">
        <v>142</v>
      </c>
    </row>
    <row r="919" spans="1:12" x14ac:dyDescent="0.3">
      <c r="A919" t="s">
        <v>27</v>
      </c>
      <c r="B919" t="s">
        <v>209</v>
      </c>
      <c r="C919">
        <v>8</v>
      </c>
      <c r="D919" t="s">
        <v>163</v>
      </c>
      <c r="E919" t="s">
        <v>2370</v>
      </c>
      <c r="F919" t="s">
        <v>2371</v>
      </c>
      <c r="G919" t="s">
        <v>208</v>
      </c>
      <c r="H919" t="s">
        <v>209</v>
      </c>
      <c r="I919">
        <v>180</v>
      </c>
      <c r="J919">
        <v>19</v>
      </c>
      <c r="K919">
        <v>0</v>
      </c>
      <c r="L919" t="s">
        <v>142</v>
      </c>
    </row>
    <row r="920" spans="1:12" x14ac:dyDescent="0.3">
      <c r="A920" t="s">
        <v>27</v>
      </c>
      <c r="B920" t="s">
        <v>209</v>
      </c>
      <c r="C920">
        <v>9</v>
      </c>
      <c r="D920" t="s">
        <v>163</v>
      </c>
      <c r="E920" t="s">
        <v>2372</v>
      </c>
      <c r="F920" t="s">
        <v>2373</v>
      </c>
      <c r="G920" t="s">
        <v>2374</v>
      </c>
      <c r="H920" t="s">
        <v>209</v>
      </c>
      <c r="I920">
        <v>192</v>
      </c>
      <c r="J920">
        <v>74</v>
      </c>
      <c r="K920">
        <v>17</v>
      </c>
      <c r="L920" t="s">
        <v>142</v>
      </c>
    </row>
    <row r="921" spans="1:12" x14ac:dyDescent="0.3">
      <c r="A921" t="s">
        <v>27</v>
      </c>
      <c r="B921" t="s">
        <v>209</v>
      </c>
      <c r="C921">
        <v>10</v>
      </c>
      <c r="D921" t="s">
        <v>163</v>
      </c>
      <c r="E921" t="s">
        <v>2375</v>
      </c>
      <c r="F921" t="s">
        <v>2376</v>
      </c>
      <c r="G921" t="s">
        <v>2359</v>
      </c>
      <c r="H921" t="s">
        <v>209</v>
      </c>
      <c r="I921">
        <v>174</v>
      </c>
      <c r="J921">
        <v>191</v>
      </c>
      <c r="K921">
        <v>40</v>
      </c>
      <c r="L921" t="s">
        <v>142</v>
      </c>
    </row>
    <row r="922" spans="1:12" x14ac:dyDescent="0.3">
      <c r="A922" t="s">
        <v>27</v>
      </c>
      <c r="B922" t="s">
        <v>209</v>
      </c>
      <c r="C922">
        <v>11</v>
      </c>
      <c r="D922" t="s">
        <v>163</v>
      </c>
      <c r="E922" t="s">
        <v>2377</v>
      </c>
      <c r="F922" t="s">
        <v>2378</v>
      </c>
      <c r="G922" t="s">
        <v>2359</v>
      </c>
      <c r="H922" t="s">
        <v>209</v>
      </c>
      <c r="I922">
        <v>176</v>
      </c>
      <c r="J922">
        <v>139</v>
      </c>
      <c r="K922">
        <v>40</v>
      </c>
      <c r="L922" t="s">
        <v>142</v>
      </c>
    </row>
    <row r="923" spans="1:12" x14ac:dyDescent="0.3">
      <c r="A923" t="s">
        <v>27</v>
      </c>
      <c r="B923" t="s">
        <v>209</v>
      </c>
      <c r="C923">
        <v>12</v>
      </c>
      <c r="D923" t="s">
        <v>158</v>
      </c>
      <c r="E923" t="s">
        <v>2379</v>
      </c>
      <c r="F923" t="s">
        <v>2380</v>
      </c>
      <c r="G923" t="s">
        <v>208</v>
      </c>
      <c r="H923" t="s">
        <v>209</v>
      </c>
      <c r="I923">
        <v>190</v>
      </c>
      <c r="J923">
        <v>130</v>
      </c>
      <c r="K923">
        <v>6</v>
      </c>
      <c r="L923" t="s">
        <v>142</v>
      </c>
    </row>
    <row r="924" spans="1:12" x14ac:dyDescent="0.3">
      <c r="A924" t="s">
        <v>27</v>
      </c>
      <c r="B924" t="s">
        <v>209</v>
      </c>
      <c r="C924">
        <v>13</v>
      </c>
      <c r="D924" t="s">
        <v>143</v>
      </c>
      <c r="E924" t="s">
        <v>2381</v>
      </c>
      <c r="F924" t="s">
        <v>2382</v>
      </c>
      <c r="G924" t="s">
        <v>2374</v>
      </c>
      <c r="H924" t="s">
        <v>209</v>
      </c>
      <c r="I924">
        <v>181</v>
      </c>
      <c r="J924">
        <v>9</v>
      </c>
      <c r="K924">
        <v>0</v>
      </c>
      <c r="L924" t="s">
        <v>142</v>
      </c>
    </row>
    <row r="925" spans="1:12" x14ac:dyDescent="0.3">
      <c r="A925" t="s">
        <v>27</v>
      </c>
      <c r="B925" t="s">
        <v>209</v>
      </c>
      <c r="C925">
        <v>14</v>
      </c>
      <c r="D925" t="s">
        <v>143</v>
      </c>
      <c r="E925" t="s">
        <v>2383</v>
      </c>
      <c r="F925" t="s">
        <v>2384</v>
      </c>
      <c r="G925" t="s">
        <v>2385</v>
      </c>
      <c r="H925" t="s">
        <v>219</v>
      </c>
      <c r="I925">
        <v>188</v>
      </c>
      <c r="J925">
        <v>78</v>
      </c>
      <c r="K925">
        <v>3</v>
      </c>
      <c r="L925" t="s">
        <v>142</v>
      </c>
    </row>
    <row r="926" spans="1:12" x14ac:dyDescent="0.3">
      <c r="A926" t="s">
        <v>27</v>
      </c>
      <c r="B926" t="s">
        <v>209</v>
      </c>
      <c r="C926">
        <v>15</v>
      </c>
      <c r="D926" t="s">
        <v>163</v>
      </c>
      <c r="E926" t="s">
        <v>2386</v>
      </c>
      <c r="F926" t="s">
        <v>2387</v>
      </c>
      <c r="G926" t="s">
        <v>1285</v>
      </c>
      <c r="H926" t="s">
        <v>209</v>
      </c>
      <c r="I926">
        <v>171</v>
      </c>
      <c r="J926">
        <v>46</v>
      </c>
      <c r="K926">
        <v>3</v>
      </c>
      <c r="L926" t="s">
        <v>142</v>
      </c>
    </row>
    <row r="927" spans="1:12" x14ac:dyDescent="0.3">
      <c r="A927" t="s">
        <v>27</v>
      </c>
      <c r="B927" t="s">
        <v>209</v>
      </c>
      <c r="C927">
        <v>16</v>
      </c>
      <c r="D927" t="s">
        <v>143</v>
      </c>
      <c r="E927" t="s">
        <v>2388</v>
      </c>
      <c r="F927" t="s">
        <v>2389</v>
      </c>
      <c r="G927" t="s">
        <v>2359</v>
      </c>
      <c r="H927" t="s">
        <v>209</v>
      </c>
      <c r="I927">
        <v>185</v>
      </c>
      <c r="J927">
        <v>131</v>
      </c>
      <c r="K927">
        <v>21</v>
      </c>
      <c r="L927" t="s">
        <v>142</v>
      </c>
    </row>
    <row r="928" spans="1:12" x14ac:dyDescent="0.3">
      <c r="A928" t="s">
        <v>27</v>
      </c>
      <c r="B928" t="s">
        <v>209</v>
      </c>
      <c r="C928">
        <v>17</v>
      </c>
      <c r="D928" t="s">
        <v>158</v>
      </c>
      <c r="E928" t="s">
        <v>2390</v>
      </c>
      <c r="F928" t="s">
        <v>2391</v>
      </c>
      <c r="G928" t="s">
        <v>2374</v>
      </c>
      <c r="H928" t="s">
        <v>209</v>
      </c>
      <c r="I928">
        <v>175</v>
      </c>
      <c r="J928">
        <v>16</v>
      </c>
      <c r="K928">
        <v>1</v>
      </c>
      <c r="L928" t="s">
        <v>142</v>
      </c>
    </row>
    <row r="929" spans="1:12" x14ac:dyDescent="0.3">
      <c r="A929" t="s">
        <v>27</v>
      </c>
      <c r="B929" t="s">
        <v>209</v>
      </c>
      <c r="C929">
        <v>18</v>
      </c>
      <c r="D929" t="s">
        <v>143</v>
      </c>
      <c r="E929" t="s">
        <v>2392</v>
      </c>
      <c r="F929" t="s">
        <v>2393</v>
      </c>
      <c r="G929" t="s">
        <v>208</v>
      </c>
      <c r="H929" t="s">
        <v>209</v>
      </c>
      <c r="I929">
        <v>178</v>
      </c>
      <c r="J929">
        <v>22</v>
      </c>
      <c r="K929">
        <v>0</v>
      </c>
      <c r="L929" t="s">
        <v>142</v>
      </c>
    </row>
    <row r="930" spans="1:12" x14ac:dyDescent="0.3">
      <c r="A930" t="s">
        <v>27</v>
      </c>
      <c r="B930" t="s">
        <v>209</v>
      </c>
      <c r="C930">
        <v>19</v>
      </c>
      <c r="D930" t="s">
        <v>163</v>
      </c>
      <c r="E930" t="s">
        <v>2394</v>
      </c>
      <c r="F930" t="s">
        <v>1719</v>
      </c>
      <c r="G930" t="s">
        <v>208</v>
      </c>
      <c r="H930" t="s">
        <v>209</v>
      </c>
      <c r="I930">
        <v>180</v>
      </c>
      <c r="J930">
        <v>129</v>
      </c>
      <c r="K930">
        <v>58</v>
      </c>
      <c r="L930" t="s">
        <v>142</v>
      </c>
    </row>
    <row r="931" spans="1:12" x14ac:dyDescent="0.3">
      <c r="A931" t="s">
        <v>27</v>
      </c>
      <c r="B931" t="s">
        <v>209</v>
      </c>
      <c r="C931">
        <v>20</v>
      </c>
      <c r="D931" t="s">
        <v>158</v>
      </c>
      <c r="E931" t="s">
        <v>2395</v>
      </c>
      <c r="F931" t="s">
        <v>1815</v>
      </c>
      <c r="G931" t="s">
        <v>2363</v>
      </c>
      <c r="H931" t="s">
        <v>209</v>
      </c>
      <c r="I931">
        <v>171</v>
      </c>
      <c r="J931">
        <v>57</v>
      </c>
      <c r="K931">
        <v>0</v>
      </c>
      <c r="L931" t="s">
        <v>142</v>
      </c>
    </row>
    <row r="932" spans="1:12" x14ac:dyDescent="0.3">
      <c r="A932" t="s">
        <v>27</v>
      </c>
      <c r="B932" t="s">
        <v>209</v>
      </c>
      <c r="C932">
        <v>21</v>
      </c>
      <c r="D932" t="s">
        <v>137</v>
      </c>
      <c r="E932" t="s">
        <v>2396</v>
      </c>
      <c r="F932" t="s">
        <v>2397</v>
      </c>
      <c r="G932" t="s">
        <v>208</v>
      </c>
      <c r="H932" t="s">
        <v>209</v>
      </c>
      <c r="I932">
        <v>186</v>
      </c>
      <c r="J932">
        <v>10</v>
      </c>
      <c r="K932">
        <v>0</v>
      </c>
      <c r="L932" t="s">
        <v>142</v>
      </c>
    </row>
    <row r="933" spans="1:12" x14ac:dyDescent="0.3">
      <c r="A933" t="s">
        <v>27</v>
      </c>
      <c r="B933" t="s">
        <v>209</v>
      </c>
      <c r="C933">
        <v>22</v>
      </c>
      <c r="D933" t="s">
        <v>137</v>
      </c>
      <c r="E933" t="s">
        <v>2398</v>
      </c>
      <c r="F933" t="s">
        <v>2140</v>
      </c>
      <c r="G933" t="s">
        <v>2359</v>
      </c>
      <c r="H933" t="s">
        <v>209</v>
      </c>
      <c r="I933">
        <v>180</v>
      </c>
      <c r="J933">
        <v>60</v>
      </c>
      <c r="K933">
        <v>0</v>
      </c>
      <c r="L933" t="s">
        <v>142</v>
      </c>
    </row>
    <row r="934" spans="1:12" x14ac:dyDescent="0.3">
      <c r="A934" t="s">
        <v>27</v>
      </c>
      <c r="B934" t="s">
        <v>209</v>
      </c>
      <c r="C934">
        <v>23</v>
      </c>
      <c r="D934" t="s">
        <v>158</v>
      </c>
      <c r="E934" t="s">
        <v>2399</v>
      </c>
      <c r="F934" t="s">
        <v>2400</v>
      </c>
      <c r="G934" t="s">
        <v>1285</v>
      </c>
      <c r="H934" t="s">
        <v>209</v>
      </c>
      <c r="I934">
        <v>168</v>
      </c>
      <c r="J934">
        <v>66</v>
      </c>
      <c r="K934">
        <v>0</v>
      </c>
      <c r="L934" t="s">
        <v>142</v>
      </c>
    </row>
    <row r="935" spans="1:12" x14ac:dyDescent="0.3">
      <c r="A935" t="s">
        <v>27</v>
      </c>
      <c r="B935" t="s">
        <v>209</v>
      </c>
      <c r="C935">
        <v>24</v>
      </c>
      <c r="D935" t="s">
        <v>163</v>
      </c>
      <c r="E935" t="s">
        <v>2401</v>
      </c>
      <c r="F935" t="s">
        <v>2402</v>
      </c>
      <c r="G935" t="s">
        <v>208</v>
      </c>
      <c r="H935" t="s">
        <v>209</v>
      </c>
      <c r="I935">
        <v>166</v>
      </c>
      <c r="J935">
        <v>5</v>
      </c>
      <c r="K935">
        <v>0</v>
      </c>
      <c r="L935" t="s">
        <v>142</v>
      </c>
    </row>
    <row r="936" spans="1:12" x14ac:dyDescent="0.3">
      <c r="A936" t="s">
        <v>27</v>
      </c>
      <c r="B936" t="s">
        <v>209</v>
      </c>
      <c r="C936">
        <v>25</v>
      </c>
      <c r="D936" t="s">
        <v>143</v>
      </c>
      <c r="E936" t="s">
        <v>2403</v>
      </c>
      <c r="F936" t="s">
        <v>2404</v>
      </c>
      <c r="G936" t="s">
        <v>2363</v>
      </c>
      <c r="H936" t="s">
        <v>209</v>
      </c>
      <c r="I936">
        <v>182</v>
      </c>
      <c r="J936">
        <v>11</v>
      </c>
      <c r="K936">
        <v>0</v>
      </c>
      <c r="L936" t="s">
        <v>142</v>
      </c>
    </row>
    <row r="937" spans="1:12" x14ac:dyDescent="0.3">
      <c r="A937" t="s">
        <v>27</v>
      </c>
      <c r="B937" t="s">
        <v>209</v>
      </c>
      <c r="C937">
        <v>26</v>
      </c>
      <c r="D937" t="s">
        <v>163</v>
      </c>
      <c r="E937" t="s">
        <v>2405</v>
      </c>
      <c r="F937" t="s">
        <v>2406</v>
      </c>
      <c r="G937" t="s">
        <v>2407</v>
      </c>
      <c r="H937" t="s">
        <v>209</v>
      </c>
      <c r="I937">
        <v>180</v>
      </c>
      <c r="J937">
        <v>14</v>
      </c>
      <c r="K937">
        <v>0</v>
      </c>
      <c r="L937" t="s">
        <v>142</v>
      </c>
    </row>
    <row r="938" spans="1:12" x14ac:dyDescent="0.3">
      <c r="A938" t="s">
        <v>49</v>
      </c>
      <c r="B938" t="s">
        <v>167</v>
      </c>
      <c r="C938">
        <v>1</v>
      </c>
      <c r="D938" t="s">
        <v>137</v>
      </c>
      <c r="E938" t="s">
        <v>2408</v>
      </c>
      <c r="F938" t="s">
        <v>2409</v>
      </c>
      <c r="G938" t="s">
        <v>2319</v>
      </c>
      <c r="H938" t="s">
        <v>167</v>
      </c>
      <c r="I938">
        <v>186</v>
      </c>
      <c r="J938">
        <v>24</v>
      </c>
      <c r="K938">
        <v>0</v>
      </c>
      <c r="L938" t="s">
        <v>142</v>
      </c>
    </row>
    <row r="939" spans="1:12" x14ac:dyDescent="0.3">
      <c r="A939" t="s">
        <v>49</v>
      </c>
      <c r="B939" t="s">
        <v>167</v>
      </c>
      <c r="C939">
        <v>2</v>
      </c>
      <c r="D939" t="s">
        <v>143</v>
      </c>
      <c r="E939" t="s">
        <v>2410</v>
      </c>
      <c r="F939" t="s">
        <v>2411</v>
      </c>
      <c r="G939" t="s">
        <v>166</v>
      </c>
      <c r="H939" t="s">
        <v>167</v>
      </c>
      <c r="I939">
        <v>169</v>
      </c>
      <c r="J939">
        <v>21</v>
      </c>
      <c r="K939">
        <v>0</v>
      </c>
      <c r="L939" t="s">
        <v>142</v>
      </c>
    </row>
    <row r="940" spans="1:12" x14ac:dyDescent="0.3">
      <c r="A940" t="s">
        <v>49</v>
      </c>
      <c r="B940" t="s">
        <v>167</v>
      </c>
      <c r="C940">
        <v>3</v>
      </c>
      <c r="D940" t="s">
        <v>143</v>
      </c>
      <c r="E940" t="s">
        <v>2412</v>
      </c>
      <c r="F940" t="s">
        <v>2413</v>
      </c>
      <c r="G940" t="s">
        <v>1400</v>
      </c>
      <c r="H940" t="s">
        <v>167</v>
      </c>
      <c r="I940">
        <v>177</v>
      </c>
      <c r="J940">
        <v>27</v>
      </c>
      <c r="K940">
        <v>1</v>
      </c>
      <c r="L940" t="s">
        <v>142</v>
      </c>
    </row>
    <row r="941" spans="1:12" x14ac:dyDescent="0.3">
      <c r="A941" t="s">
        <v>49</v>
      </c>
      <c r="B941" t="s">
        <v>167</v>
      </c>
      <c r="C941">
        <v>4</v>
      </c>
      <c r="D941" t="s">
        <v>143</v>
      </c>
      <c r="E941" t="s">
        <v>2414</v>
      </c>
      <c r="F941" t="s">
        <v>2415</v>
      </c>
      <c r="G941" t="s">
        <v>2319</v>
      </c>
      <c r="H941" t="s">
        <v>167</v>
      </c>
      <c r="I941">
        <v>185</v>
      </c>
      <c r="J941">
        <v>47</v>
      </c>
      <c r="K941">
        <v>2</v>
      </c>
      <c r="L941" t="s">
        <v>142</v>
      </c>
    </row>
    <row r="942" spans="1:12" x14ac:dyDescent="0.3">
      <c r="A942" t="s">
        <v>49</v>
      </c>
      <c r="B942" t="s">
        <v>167</v>
      </c>
      <c r="C942">
        <v>5</v>
      </c>
      <c r="D942" t="s">
        <v>143</v>
      </c>
      <c r="E942" t="s">
        <v>2416</v>
      </c>
      <c r="F942" t="s">
        <v>2417</v>
      </c>
      <c r="G942" t="s">
        <v>1400</v>
      </c>
      <c r="H942" t="s">
        <v>167</v>
      </c>
      <c r="I942">
        <v>183</v>
      </c>
      <c r="J942">
        <v>57</v>
      </c>
      <c r="K942">
        <v>1</v>
      </c>
      <c r="L942" t="s">
        <v>142</v>
      </c>
    </row>
    <row r="943" spans="1:12" x14ac:dyDescent="0.3">
      <c r="A943" t="s">
        <v>49</v>
      </c>
      <c r="B943" t="s">
        <v>167</v>
      </c>
      <c r="C943">
        <v>6</v>
      </c>
      <c r="D943" t="s">
        <v>158</v>
      </c>
      <c r="E943" t="s">
        <v>2418</v>
      </c>
      <c r="F943" t="s">
        <v>2419</v>
      </c>
      <c r="G943" t="s">
        <v>1400</v>
      </c>
      <c r="H943" t="s">
        <v>167</v>
      </c>
      <c r="I943">
        <v>178</v>
      </c>
      <c r="J943">
        <v>50</v>
      </c>
      <c r="K943">
        <v>1</v>
      </c>
      <c r="L943" t="s">
        <v>142</v>
      </c>
    </row>
    <row r="944" spans="1:12" x14ac:dyDescent="0.3">
      <c r="A944" t="s">
        <v>49</v>
      </c>
      <c r="B944" t="s">
        <v>167</v>
      </c>
      <c r="C944">
        <v>7</v>
      </c>
      <c r="D944" t="s">
        <v>158</v>
      </c>
      <c r="E944" t="s">
        <v>2420</v>
      </c>
      <c r="F944" t="s">
        <v>2421</v>
      </c>
      <c r="G944" t="s">
        <v>1496</v>
      </c>
      <c r="H944" t="s">
        <v>167</v>
      </c>
      <c r="I944">
        <v>175</v>
      </c>
      <c r="J944">
        <v>40</v>
      </c>
      <c r="K944">
        <v>6</v>
      </c>
      <c r="L944" t="s">
        <v>142</v>
      </c>
    </row>
    <row r="945" spans="1:12" x14ac:dyDescent="0.3">
      <c r="A945" t="s">
        <v>49</v>
      </c>
      <c r="B945" t="s">
        <v>167</v>
      </c>
      <c r="C945">
        <v>8</v>
      </c>
      <c r="D945" t="s">
        <v>163</v>
      </c>
      <c r="E945" t="s">
        <v>2422</v>
      </c>
      <c r="F945" t="s">
        <v>2423</v>
      </c>
      <c r="G945" t="s">
        <v>2319</v>
      </c>
      <c r="H945" t="s">
        <v>167</v>
      </c>
      <c r="I945">
        <v>173</v>
      </c>
      <c r="J945">
        <v>26</v>
      </c>
      <c r="K945">
        <v>0</v>
      </c>
      <c r="L945" t="s">
        <v>142</v>
      </c>
    </row>
    <row r="946" spans="1:12" x14ac:dyDescent="0.3">
      <c r="A946" t="s">
        <v>49</v>
      </c>
      <c r="B946" t="s">
        <v>167</v>
      </c>
      <c r="C946">
        <v>9</v>
      </c>
      <c r="D946" t="s">
        <v>163</v>
      </c>
      <c r="E946" t="s">
        <v>2424</v>
      </c>
      <c r="F946" t="s">
        <v>2425</v>
      </c>
      <c r="G946" t="s">
        <v>166</v>
      </c>
      <c r="H946" t="s">
        <v>167</v>
      </c>
      <c r="I946">
        <v>185</v>
      </c>
      <c r="J946">
        <v>75</v>
      </c>
      <c r="K946">
        <v>16</v>
      </c>
      <c r="L946" t="s">
        <v>142</v>
      </c>
    </row>
    <row r="947" spans="1:12" x14ac:dyDescent="0.3">
      <c r="A947" t="s">
        <v>49</v>
      </c>
      <c r="B947" t="s">
        <v>167</v>
      </c>
      <c r="C947">
        <v>10</v>
      </c>
      <c r="D947" t="s">
        <v>163</v>
      </c>
      <c r="E947" t="s">
        <v>2426</v>
      </c>
      <c r="F947" t="s">
        <v>2427</v>
      </c>
      <c r="G947" t="s">
        <v>1400</v>
      </c>
      <c r="H947" t="s">
        <v>167</v>
      </c>
      <c r="I947">
        <v>173</v>
      </c>
      <c r="J947">
        <v>114</v>
      </c>
      <c r="K947">
        <v>27</v>
      </c>
      <c r="L947" t="s">
        <v>142</v>
      </c>
    </row>
    <row r="948" spans="1:12" x14ac:dyDescent="0.3">
      <c r="A948" t="s">
        <v>49</v>
      </c>
      <c r="B948" t="s">
        <v>167</v>
      </c>
      <c r="C948">
        <v>11</v>
      </c>
      <c r="D948" t="s">
        <v>163</v>
      </c>
      <c r="E948" t="s">
        <v>2428</v>
      </c>
      <c r="F948" t="s">
        <v>2429</v>
      </c>
      <c r="G948" t="s">
        <v>170</v>
      </c>
      <c r="H948" t="s">
        <v>167</v>
      </c>
      <c r="I948">
        <v>184</v>
      </c>
      <c r="J948">
        <v>59</v>
      </c>
      <c r="K948">
        <v>17</v>
      </c>
      <c r="L948" t="s">
        <v>142</v>
      </c>
    </row>
    <row r="949" spans="1:12" x14ac:dyDescent="0.3">
      <c r="A949" t="s">
        <v>49</v>
      </c>
      <c r="B949" t="s">
        <v>167</v>
      </c>
      <c r="C949">
        <v>12</v>
      </c>
      <c r="D949" t="s">
        <v>143</v>
      </c>
      <c r="E949" t="s">
        <v>2430</v>
      </c>
      <c r="F949" t="s">
        <v>2431</v>
      </c>
      <c r="G949" t="s">
        <v>943</v>
      </c>
      <c r="H949" t="s">
        <v>147</v>
      </c>
      <c r="I949">
        <v>172</v>
      </c>
      <c r="J949">
        <v>58</v>
      </c>
      <c r="K949">
        <v>1</v>
      </c>
      <c r="L949" t="s">
        <v>142</v>
      </c>
    </row>
    <row r="950" spans="1:12" x14ac:dyDescent="0.3">
      <c r="A950" t="s">
        <v>49</v>
      </c>
      <c r="B950" t="s">
        <v>167</v>
      </c>
      <c r="C950">
        <v>13</v>
      </c>
      <c r="D950" t="s">
        <v>143</v>
      </c>
      <c r="E950" t="s">
        <v>2432</v>
      </c>
      <c r="F950" t="s">
        <v>2433</v>
      </c>
      <c r="G950" t="s">
        <v>2319</v>
      </c>
      <c r="H950" t="s">
        <v>167</v>
      </c>
      <c r="I950">
        <v>173</v>
      </c>
      <c r="J950">
        <v>29</v>
      </c>
      <c r="K950">
        <v>0</v>
      </c>
      <c r="L950" t="s">
        <v>142</v>
      </c>
    </row>
    <row r="951" spans="1:12" x14ac:dyDescent="0.3">
      <c r="A951" t="s">
        <v>49</v>
      </c>
      <c r="B951" t="s">
        <v>167</v>
      </c>
      <c r="C951">
        <v>14</v>
      </c>
      <c r="D951" t="s">
        <v>143</v>
      </c>
      <c r="E951" t="s">
        <v>2434</v>
      </c>
      <c r="F951" t="s">
        <v>2435</v>
      </c>
      <c r="G951" t="s">
        <v>170</v>
      </c>
      <c r="H951" t="s">
        <v>167</v>
      </c>
      <c r="I951">
        <v>179</v>
      </c>
      <c r="J951">
        <v>21</v>
      </c>
      <c r="K951">
        <v>2</v>
      </c>
      <c r="L951" t="s">
        <v>142</v>
      </c>
    </row>
    <row r="952" spans="1:12" x14ac:dyDescent="0.3">
      <c r="A952" t="s">
        <v>49</v>
      </c>
      <c r="B952" t="s">
        <v>167</v>
      </c>
      <c r="C952">
        <v>15</v>
      </c>
      <c r="D952" t="s">
        <v>158</v>
      </c>
      <c r="E952" t="s">
        <v>2436</v>
      </c>
      <c r="F952" t="s">
        <v>2437</v>
      </c>
      <c r="G952" t="s">
        <v>2319</v>
      </c>
      <c r="H952" t="s">
        <v>167</v>
      </c>
      <c r="I952">
        <v>175</v>
      </c>
      <c r="J952">
        <v>45</v>
      </c>
      <c r="K952">
        <v>0</v>
      </c>
      <c r="L952" t="s">
        <v>142</v>
      </c>
    </row>
    <row r="953" spans="1:12" x14ac:dyDescent="0.3">
      <c r="A953" t="s">
        <v>49</v>
      </c>
      <c r="B953" t="s">
        <v>167</v>
      </c>
      <c r="C953">
        <v>16</v>
      </c>
      <c r="D953" t="s">
        <v>158</v>
      </c>
      <c r="E953" t="s">
        <v>2438</v>
      </c>
      <c r="F953" t="s">
        <v>2439</v>
      </c>
      <c r="G953" t="s">
        <v>166</v>
      </c>
      <c r="H953" t="s">
        <v>167</v>
      </c>
      <c r="I953">
        <v>180</v>
      </c>
      <c r="J953">
        <v>12</v>
      </c>
      <c r="K953">
        <v>0</v>
      </c>
      <c r="L953" t="s">
        <v>142</v>
      </c>
    </row>
    <row r="954" spans="1:12" x14ac:dyDescent="0.3">
      <c r="A954" t="s">
        <v>49</v>
      </c>
      <c r="B954" t="s">
        <v>167</v>
      </c>
      <c r="C954">
        <v>17</v>
      </c>
      <c r="D954" t="s">
        <v>163</v>
      </c>
      <c r="E954" t="s">
        <v>2440</v>
      </c>
      <c r="F954" t="s">
        <v>1141</v>
      </c>
      <c r="G954" t="s">
        <v>2441</v>
      </c>
      <c r="H954" t="s">
        <v>167</v>
      </c>
      <c r="I954">
        <v>171</v>
      </c>
      <c r="J954">
        <v>8</v>
      </c>
      <c r="K954">
        <v>0</v>
      </c>
      <c r="L954" t="s">
        <v>142</v>
      </c>
    </row>
    <row r="955" spans="1:12" x14ac:dyDescent="0.3">
      <c r="A955" t="s">
        <v>49</v>
      </c>
      <c r="B955" t="s">
        <v>167</v>
      </c>
      <c r="C955">
        <v>18</v>
      </c>
      <c r="D955" t="s">
        <v>158</v>
      </c>
      <c r="E955" t="s">
        <v>2442</v>
      </c>
      <c r="F955" t="s">
        <v>2443</v>
      </c>
      <c r="G955" t="s">
        <v>2444</v>
      </c>
      <c r="H955" t="s">
        <v>167</v>
      </c>
      <c r="I955">
        <v>178</v>
      </c>
      <c r="J955">
        <v>5</v>
      </c>
      <c r="K955">
        <v>0</v>
      </c>
      <c r="L955" t="s">
        <v>142</v>
      </c>
    </row>
    <row r="956" spans="1:12" x14ac:dyDescent="0.3">
      <c r="A956" t="s">
        <v>49</v>
      </c>
      <c r="B956" t="s">
        <v>167</v>
      </c>
      <c r="C956">
        <v>19</v>
      </c>
      <c r="D956" t="s">
        <v>163</v>
      </c>
      <c r="E956" t="s">
        <v>2445</v>
      </c>
      <c r="F956" t="s">
        <v>2446</v>
      </c>
      <c r="G956" t="s">
        <v>2319</v>
      </c>
      <c r="H956" t="s">
        <v>167</v>
      </c>
      <c r="I956">
        <v>186</v>
      </c>
      <c r="J956">
        <v>55</v>
      </c>
      <c r="K956">
        <v>13</v>
      </c>
      <c r="L956" t="s">
        <v>142</v>
      </c>
    </row>
    <row r="957" spans="1:12" x14ac:dyDescent="0.3">
      <c r="A957" t="s">
        <v>49</v>
      </c>
      <c r="B957" t="s">
        <v>167</v>
      </c>
      <c r="C957">
        <v>20</v>
      </c>
      <c r="D957" t="s">
        <v>163</v>
      </c>
      <c r="E957" t="s">
        <v>2447</v>
      </c>
      <c r="F957" t="s">
        <v>2448</v>
      </c>
      <c r="G957" t="s">
        <v>1400</v>
      </c>
      <c r="H957" t="s">
        <v>167</v>
      </c>
      <c r="I957">
        <v>172</v>
      </c>
      <c r="J957">
        <v>8</v>
      </c>
      <c r="K957">
        <v>2</v>
      </c>
      <c r="L957" t="s">
        <v>142</v>
      </c>
    </row>
    <row r="958" spans="1:12" x14ac:dyDescent="0.3">
      <c r="A958" t="s">
        <v>49</v>
      </c>
      <c r="B958" t="s">
        <v>167</v>
      </c>
      <c r="C958">
        <v>21</v>
      </c>
      <c r="D958" t="s">
        <v>137</v>
      </c>
      <c r="E958" t="s">
        <v>2449</v>
      </c>
      <c r="F958" t="s">
        <v>2450</v>
      </c>
      <c r="G958" t="s">
        <v>2451</v>
      </c>
      <c r="H958" t="s">
        <v>167</v>
      </c>
      <c r="I958">
        <v>185</v>
      </c>
      <c r="J958">
        <v>68</v>
      </c>
      <c r="K958">
        <v>0</v>
      </c>
      <c r="L958" t="s">
        <v>142</v>
      </c>
    </row>
    <row r="959" spans="1:12" x14ac:dyDescent="0.3">
      <c r="A959" t="s">
        <v>49</v>
      </c>
      <c r="B959" t="s">
        <v>167</v>
      </c>
      <c r="C959">
        <v>22</v>
      </c>
      <c r="D959" t="s">
        <v>137</v>
      </c>
      <c r="E959" t="s">
        <v>2452</v>
      </c>
      <c r="F959" t="s">
        <v>2453</v>
      </c>
      <c r="G959" t="s">
        <v>1496</v>
      </c>
      <c r="H959" t="s">
        <v>167</v>
      </c>
      <c r="I959">
        <v>178</v>
      </c>
      <c r="J959">
        <v>9</v>
      </c>
      <c r="K959">
        <v>0</v>
      </c>
      <c r="L959" t="s">
        <v>142</v>
      </c>
    </row>
    <row r="960" spans="1:12" x14ac:dyDescent="0.3">
      <c r="A960" t="s">
        <v>49</v>
      </c>
      <c r="B960" t="s">
        <v>167</v>
      </c>
      <c r="C960">
        <v>23</v>
      </c>
      <c r="D960" t="s">
        <v>158</v>
      </c>
      <c r="E960" t="s">
        <v>2454</v>
      </c>
      <c r="F960" t="s">
        <v>2455</v>
      </c>
      <c r="G960" t="s">
        <v>1400</v>
      </c>
      <c r="H960" t="s">
        <v>167</v>
      </c>
      <c r="I960">
        <v>191</v>
      </c>
      <c r="J960">
        <v>82</v>
      </c>
      <c r="K960">
        <v>8</v>
      </c>
      <c r="L960" t="s">
        <v>142</v>
      </c>
    </row>
    <row r="961" spans="1:12" x14ac:dyDescent="0.3">
      <c r="A961" t="s">
        <v>49</v>
      </c>
      <c r="B961" t="s">
        <v>167</v>
      </c>
      <c r="C961">
        <v>24</v>
      </c>
      <c r="D961" t="s">
        <v>143</v>
      </c>
      <c r="E961" t="s">
        <v>2456</v>
      </c>
      <c r="F961" t="s">
        <v>2457</v>
      </c>
      <c r="G961" t="s">
        <v>1400</v>
      </c>
      <c r="H961" t="s">
        <v>167</v>
      </c>
      <c r="I961">
        <v>177</v>
      </c>
      <c r="J961">
        <v>16</v>
      </c>
      <c r="K961">
        <v>0</v>
      </c>
      <c r="L961" t="s">
        <v>142</v>
      </c>
    </row>
    <row r="962" spans="1:12" x14ac:dyDescent="0.3">
      <c r="A962" t="s">
        <v>49</v>
      </c>
      <c r="B962" t="s">
        <v>167</v>
      </c>
      <c r="C962">
        <v>25</v>
      </c>
      <c r="D962" t="s">
        <v>143</v>
      </c>
      <c r="E962" t="s">
        <v>2458</v>
      </c>
      <c r="F962" t="s">
        <v>2459</v>
      </c>
      <c r="G962" t="s">
        <v>1496</v>
      </c>
      <c r="H962" t="s">
        <v>167</v>
      </c>
      <c r="I962">
        <v>184</v>
      </c>
      <c r="J962">
        <v>8</v>
      </c>
      <c r="K962">
        <v>0</v>
      </c>
      <c r="L962" t="s">
        <v>142</v>
      </c>
    </row>
    <row r="963" spans="1:12" x14ac:dyDescent="0.3">
      <c r="A963" t="s">
        <v>49</v>
      </c>
      <c r="B963" t="s">
        <v>167</v>
      </c>
      <c r="C963">
        <v>26</v>
      </c>
      <c r="D963" t="s">
        <v>143</v>
      </c>
      <c r="E963" t="s">
        <v>2460</v>
      </c>
      <c r="F963" t="s">
        <v>2461</v>
      </c>
      <c r="G963" t="s">
        <v>1496</v>
      </c>
      <c r="H963" t="s">
        <v>167</v>
      </c>
      <c r="I963">
        <v>170</v>
      </c>
      <c r="J963">
        <v>11</v>
      </c>
      <c r="K963">
        <v>0</v>
      </c>
      <c r="L963" t="s">
        <v>142</v>
      </c>
    </row>
    <row r="964" spans="1:12" x14ac:dyDescent="0.3">
      <c r="A964" t="s">
        <v>33</v>
      </c>
      <c r="B964" t="s">
        <v>347</v>
      </c>
      <c r="C964">
        <v>1</v>
      </c>
      <c r="D964" t="s">
        <v>137</v>
      </c>
      <c r="E964" t="s">
        <v>2462</v>
      </c>
      <c r="F964" t="s">
        <v>2463</v>
      </c>
      <c r="G964" t="s">
        <v>988</v>
      </c>
      <c r="H964" t="s">
        <v>194</v>
      </c>
      <c r="I964">
        <v>196</v>
      </c>
      <c r="J964">
        <v>25</v>
      </c>
      <c r="K964">
        <v>0</v>
      </c>
      <c r="L964" t="s">
        <v>142</v>
      </c>
    </row>
    <row r="965" spans="1:12" x14ac:dyDescent="0.3">
      <c r="A965" t="s">
        <v>33</v>
      </c>
      <c r="B965" t="s">
        <v>347</v>
      </c>
      <c r="C965">
        <v>2</v>
      </c>
      <c r="D965" t="s">
        <v>143</v>
      </c>
      <c r="E965" t="s">
        <v>2464</v>
      </c>
      <c r="F965" t="s">
        <v>2465</v>
      </c>
      <c r="G965" t="s">
        <v>650</v>
      </c>
      <c r="H965" t="s">
        <v>194</v>
      </c>
      <c r="I965">
        <v>185</v>
      </c>
      <c r="J965">
        <v>22</v>
      </c>
      <c r="K965">
        <v>0</v>
      </c>
      <c r="L965" t="s">
        <v>142</v>
      </c>
    </row>
    <row r="966" spans="1:12" x14ac:dyDescent="0.3">
      <c r="A966" t="s">
        <v>33</v>
      </c>
      <c r="B966" t="s">
        <v>347</v>
      </c>
      <c r="C966">
        <v>3</v>
      </c>
      <c r="D966" t="s">
        <v>143</v>
      </c>
      <c r="E966" t="s">
        <v>2466</v>
      </c>
      <c r="F966" t="s">
        <v>2467</v>
      </c>
      <c r="G966" t="s">
        <v>284</v>
      </c>
      <c r="H966" t="s">
        <v>194</v>
      </c>
      <c r="I966">
        <v>178</v>
      </c>
      <c r="J966">
        <v>97</v>
      </c>
      <c r="K966">
        <v>4</v>
      </c>
      <c r="L966" t="s">
        <v>142</v>
      </c>
    </row>
    <row r="967" spans="1:12" x14ac:dyDescent="0.3">
      <c r="A967" t="s">
        <v>33</v>
      </c>
      <c r="B967" t="s">
        <v>347</v>
      </c>
      <c r="C967">
        <v>4</v>
      </c>
      <c r="D967" t="s">
        <v>158</v>
      </c>
      <c r="E967" t="s">
        <v>2468</v>
      </c>
      <c r="F967" t="s">
        <v>2469</v>
      </c>
      <c r="G967" t="s">
        <v>472</v>
      </c>
      <c r="H967" t="s">
        <v>200</v>
      </c>
      <c r="I967">
        <v>193</v>
      </c>
      <c r="J967">
        <v>73</v>
      </c>
      <c r="K967">
        <v>15</v>
      </c>
      <c r="L967" t="s">
        <v>142</v>
      </c>
    </row>
    <row r="968" spans="1:12" x14ac:dyDescent="0.3">
      <c r="A968" t="s">
        <v>33</v>
      </c>
      <c r="B968" t="s">
        <v>347</v>
      </c>
      <c r="C968">
        <v>5</v>
      </c>
      <c r="D968" t="s">
        <v>143</v>
      </c>
      <c r="E968" t="s">
        <v>2470</v>
      </c>
      <c r="F968" t="s">
        <v>2471</v>
      </c>
      <c r="G968" t="s">
        <v>2472</v>
      </c>
      <c r="H968" t="s">
        <v>347</v>
      </c>
      <c r="I968">
        <v>188</v>
      </c>
      <c r="J968">
        <v>70</v>
      </c>
      <c r="K968">
        <v>2</v>
      </c>
      <c r="L968" t="s">
        <v>142</v>
      </c>
    </row>
    <row r="969" spans="1:12" x14ac:dyDescent="0.3">
      <c r="A969" t="s">
        <v>33</v>
      </c>
      <c r="B969" t="s">
        <v>347</v>
      </c>
      <c r="C969">
        <v>6</v>
      </c>
      <c r="D969" t="s">
        <v>143</v>
      </c>
      <c r="E969" t="s">
        <v>2473</v>
      </c>
      <c r="F969" t="s">
        <v>2474</v>
      </c>
      <c r="G969" t="s">
        <v>739</v>
      </c>
      <c r="H969" t="s">
        <v>347</v>
      </c>
      <c r="I969">
        <v>180</v>
      </c>
      <c r="J969">
        <v>58</v>
      </c>
      <c r="K969">
        <v>2</v>
      </c>
      <c r="L969" t="s">
        <v>142</v>
      </c>
    </row>
    <row r="970" spans="1:12" x14ac:dyDescent="0.3">
      <c r="A970" t="s">
        <v>33</v>
      </c>
      <c r="B970" t="s">
        <v>347</v>
      </c>
      <c r="C970">
        <v>7</v>
      </c>
      <c r="D970" t="s">
        <v>158</v>
      </c>
      <c r="E970" t="s">
        <v>2475</v>
      </c>
      <c r="F970" t="s">
        <v>2476</v>
      </c>
      <c r="G970" t="s">
        <v>294</v>
      </c>
      <c r="H970" t="s">
        <v>194</v>
      </c>
      <c r="I970">
        <v>178</v>
      </c>
      <c r="J970">
        <v>89</v>
      </c>
      <c r="K970">
        <v>21</v>
      </c>
      <c r="L970" t="s">
        <v>142</v>
      </c>
    </row>
    <row r="971" spans="1:12" x14ac:dyDescent="0.3">
      <c r="A971" t="s">
        <v>33</v>
      </c>
      <c r="B971" t="s">
        <v>347</v>
      </c>
      <c r="C971">
        <v>8</v>
      </c>
      <c r="D971" t="s">
        <v>158</v>
      </c>
      <c r="E971" t="s">
        <v>2477</v>
      </c>
      <c r="F971" t="s">
        <v>2478</v>
      </c>
      <c r="G971" t="s">
        <v>248</v>
      </c>
      <c r="H971" t="s">
        <v>194</v>
      </c>
      <c r="I971">
        <v>183</v>
      </c>
      <c r="J971">
        <v>2</v>
      </c>
      <c r="K971">
        <v>0</v>
      </c>
      <c r="L971" t="s">
        <v>142</v>
      </c>
    </row>
    <row r="972" spans="1:12" x14ac:dyDescent="0.3">
      <c r="A972" t="s">
        <v>33</v>
      </c>
      <c r="B972" t="s">
        <v>347</v>
      </c>
      <c r="C972">
        <v>9</v>
      </c>
      <c r="D972" t="s">
        <v>163</v>
      </c>
      <c r="E972" t="s">
        <v>2479</v>
      </c>
      <c r="F972" t="s">
        <v>2480</v>
      </c>
      <c r="G972" t="s">
        <v>2481</v>
      </c>
      <c r="H972" t="s">
        <v>194</v>
      </c>
      <c r="I972">
        <v>188</v>
      </c>
      <c r="J972">
        <v>53</v>
      </c>
      <c r="K972">
        <v>10</v>
      </c>
      <c r="L972" t="s">
        <v>142</v>
      </c>
    </row>
    <row r="973" spans="1:12" x14ac:dyDescent="0.3">
      <c r="A973" t="s">
        <v>33</v>
      </c>
      <c r="B973" t="s">
        <v>347</v>
      </c>
      <c r="C973">
        <v>10</v>
      </c>
      <c r="D973" t="s">
        <v>163</v>
      </c>
      <c r="E973" t="s">
        <v>2482</v>
      </c>
      <c r="F973" t="s">
        <v>2483</v>
      </c>
      <c r="G973" t="s">
        <v>1038</v>
      </c>
      <c r="H973" t="s">
        <v>200</v>
      </c>
      <c r="I973">
        <v>175</v>
      </c>
      <c r="J973">
        <v>50</v>
      </c>
      <c r="K973">
        <v>13</v>
      </c>
      <c r="L973" t="s">
        <v>142</v>
      </c>
    </row>
    <row r="974" spans="1:12" x14ac:dyDescent="0.3">
      <c r="A974" t="s">
        <v>33</v>
      </c>
      <c r="B974" t="s">
        <v>347</v>
      </c>
      <c r="C974">
        <v>11</v>
      </c>
      <c r="D974" t="s">
        <v>158</v>
      </c>
      <c r="E974" t="s">
        <v>2484</v>
      </c>
      <c r="F974" t="s">
        <v>2485</v>
      </c>
      <c r="G974" t="s">
        <v>236</v>
      </c>
      <c r="H974" t="s">
        <v>194</v>
      </c>
      <c r="I974">
        <v>178</v>
      </c>
      <c r="J974">
        <v>71</v>
      </c>
      <c r="K974">
        <v>10</v>
      </c>
      <c r="L974" t="s">
        <v>142</v>
      </c>
    </row>
    <row r="975" spans="1:12" x14ac:dyDescent="0.3">
      <c r="A975" t="s">
        <v>33</v>
      </c>
      <c r="B975" t="s">
        <v>347</v>
      </c>
      <c r="C975">
        <v>12</v>
      </c>
      <c r="D975" t="s">
        <v>137</v>
      </c>
      <c r="E975" t="s">
        <v>2486</v>
      </c>
      <c r="F975" t="s">
        <v>2487</v>
      </c>
      <c r="G975" t="s">
        <v>509</v>
      </c>
      <c r="H975" t="s">
        <v>347</v>
      </c>
      <c r="I975">
        <v>184</v>
      </c>
      <c r="J975">
        <v>3</v>
      </c>
      <c r="K975">
        <v>0</v>
      </c>
      <c r="L975" t="s">
        <v>142</v>
      </c>
    </row>
    <row r="976" spans="1:12" x14ac:dyDescent="0.3">
      <c r="A976" t="s">
        <v>33</v>
      </c>
      <c r="B976" t="s">
        <v>347</v>
      </c>
      <c r="C976">
        <v>13</v>
      </c>
      <c r="D976" t="s">
        <v>143</v>
      </c>
      <c r="E976" t="s">
        <v>2488</v>
      </c>
      <c r="F976" t="s">
        <v>961</v>
      </c>
      <c r="G976" t="s">
        <v>2441</v>
      </c>
      <c r="H976" t="s">
        <v>167</v>
      </c>
      <c r="I976">
        <v>192</v>
      </c>
      <c r="J976">
        <v>41</v>
      </c>
      <c r="K976">
        <v>3</v>
      </c>
      <c r="L976" t="s">
        <v>142</v>
      </c>
    </row>
    <row r="977" spans="1:12" x14ac:dyDescent="0.3">
      <c r="A977" t="s">
        <v>33</v>
      </c>
      <c r="B977" t="s">
        <v>347</v>
      </c>
      <c r="C977">
        <v>14</v>
      </c>
      <c r="D977" t="s">
        <v>163</v>
      </c>
      <c r="E977" t="s">
        <v>2489</v>
      </c>
      <c r="F977" t="s">
        <v>423</v>
      </c>
      <c r="G977" t="s">
        <v>758</v>
      </c>
      <c r="H977" t="s">
        <v>194</v>
      </c>
      <c r="I977">
        <v>188</v>
      </c>
      <c r="J977">
        <v>4</v>
      </c>
      <c r="K977">
        <v>0</v>
      </c>
      <c r="L977" t="s">
        <v>142</v>
      </c>
    </row>
    <row r="978" spans="1:12" x14ac:dyDescent="0.3">
      <c r="A978" t="s">
        <v>33</v>
      </c>
      <c r="B978" t="s">
        <v>347</v>
      </c>
      <c r="C978">
        <v>15</v>
      </c>
      <c r="D978" t="s">
        <v>143</v>
      </c>
      <c r="E978" t="s">
        <v>2490</v>
      </c>
      <c r="F978" t="s">
        <v>2491</v>
      </c>
      <c r="G978" t="s">
        <v>509</v>
      </c>
      <c r="H978" t="s">
        <v>347</v>
      </c>
      <c r="I978">
        <v>186</v>
      </c>
      <c r="J978">
        <v>24</v>
      </c>
      <c r="K978">
        <v>2</v>
      </c>
      <c r="L978" t="s">
        <v>142</v>
      </c>
    </row>
    <row r="979" spans="1:12" x14ac:dyDescent="0.3">
      <c r="A979" t="s">
        <v>33</v>
      </c>
      <c r="B979" t="s">
        <v>347</v>
      </c>
      <c r="C979">
        <v>16</v>
      </c>
      <c r="D979" t="s">
        <v>143</v>
      </c>
      <c r="E979" t="s">
        <v>2492</v>
      </c>
      <c r="F979" t="s">
        <v>2493</v>
      </c>
      <c r="G979" t="s">
        <v>2093</v>
      </c>
      <c r="H979" t="s">
        <v>366</v>
      </c>
      <c r="I979">
        <v>188</v>
      </c>
      <c r="J979">
        <v>4</v>
      </c>
      <c r="K979">
        <v>0</v>
      </c>
      <c r="L979" t="s">
        <v>142</v>
      </c>
    </row>
    <row r="980" spans="1:12" x14ac:dyDescent="0.3">
      <c r="A980" t="s">
        <v>33</v>
      </c>
      <c r="B980" t="s">
        <v>347</v>
      </c>
      <c r="C980">
        <v>17</v>
      </c>
      <c r="D980" t="s">
        <v>163</v>
      </c>
      <c r="E980" t="s">
        <v>2494</v>
      </c>
      <c r="F980" t="s">
        <v>2495</v>
      </c>
      <c r="G980" t="s">
        <v>236</v>
      </c>
      <c r="H980" t="s">
        <v>194</v>
      </c>
      <c r="I980">
        <v>173</v>
      </c>
      <c r="J980">
        <v>17</v>
      </c>
      <c r="K980">
        <v>1</v>
      </c>
      <c r="L980" t="s">
        <v>142</v>
      </c>
    </row>
    <row r="981" spans="1:12" x14ac:dyDescent="0.3">
      <c r="A981" t="s">
        <v>33</v>
      </c>
      <c r="B981" t="s">
        <v>347</v>
      </c>
      <c r="C981">
        <v>18</v>
      </c>
      <c r="D981" t="s">
        <v>163</v>
      </c>
      <c r="E981" t="s">
        <v>2496</v>
      </c>
      <c r="F981" t="s">
        <v>2497</v>
      </c>
      <c r="G981" t="s">
        <v>2498</v>
      </c>
      <c r="H981" t="s">
        <v>194</v>
      </c>
      <c r="I981">
        <v>191</v>
      </c>
      <c r="J981">
        <v>10</v>
      </c>
      <c r="K981">
        <v>1</v>
      </c>
      <c r="L981" t="s">
        <v>142</v>
      </c>
    </row>
    <row r="982" spans="1:12" x14ac:dyDescent="0.3">
      <c r="A982" t="s">
        <v>33</v>
      </c>
      <c r="B982" t="s">
        <v>347</v>
      </c>
      <c r="C982">
        <v>19</v>
      </c>
      <c r="D982" t="s">
        <v>158</v>
      </c>
      <c r="E982" t="s">
        <v>2499</v>
      </c>
      <c r="F982" t="s">
        <v>2500</v>
      </c>
      <c r="G982" t="s">
        <v>809</v>
      </c>
      <c r="H982" t="s">
        <v>200</v>
      </c>
      <c r="I982">
        <v>181</v>
      </c>
      <c r="J982">
        <v>27</v>
      </c>
      <c r="K982">
        <v>1</v>
      </c>
      <c r="L982" t="s">
        <v>142</v>
      </c>
    </row>
    <row r="983" spans="1:12" x14ac:dyDescent="0.3">
      <c r="A983" t="s">
        <v>33</v>
      </c>
      <c r="B983" t="s">
        <v>347</v>
      </c>
      <c r="C983">
        <v>20</v>
      </c>
      <c r="D983" t="s">
        <v>163</v>
      </c>
      <c r="E983" t="s">
        <v>2501</v>
      </c>
      <c r="F983" t="s">
        <v>2502</v>
      </c>
      <c r="G983" t="s">
        <v>346</v>
      </c>
      <c r="H983" t="s">
        <v>347</v>
      </c>
      <c r="I983">
        <v>185</v>
      </c>
      <c r="J983">
        <v>22</v>
      </c>
      <c r="K983">
        <v>7</v>
      </c>
      <c r="L983" t="s">
        <v>142</v>
      </c>
    </row>
    <row r="984" spans="1:12" x14ac:dyDescent="0.3">
      <c r="A984" t="s">
        <v>33</v>
      </c>
      <c r="B984" t="s">
        <v>347</v>
      </c>
      <c r="C984">
        <v>21</v>
      </c>
      <c r="D984" t="s">
        <v>137</v>
      </c>
      <c r="E984" t="s">
        <v>2503</v>
      </c>
      <c r="F984" t="s">
        <v>2504</v>
      </c>
      <c r="G984" t="s">
        <v>346</v>
      </c>
      <c r="H984" t="s">
        <v>347</v>
      </c>
      <c r="I984">
        <v>193</v>
      </c>
      <c r="J984">
        <v>84</v>
      </c>
      <c r="K984">
        <v>0</v>
      </c>
      <c r="L984" t="s">
        <v>142</v>
      </c>
    </row>
    <row r="985" spans="1:12" x14ac:dyDescent="0.3">
      <c r="A985" t="s">
        <v>33</v>
      </c>
      <c r="B985" t="s">
        <v>347</v>
      </c>
      <c r="C985">
        <v>22</v>
      </c>
      <c r="D985" t="s">
        <v>143</v>
      </c>
      <c r="E985" t="s">
        <v>2505</v>
      </c>
      <c r="F985" t="s">
        <v>1207</v>
      </c>
      <c r="G985" t="s">
        <v>1313</v>
      </c>
      <c r="H985" t="s">
        <v>194</v>
      </c>
      <c r="I985">
        <v>183</v>
      </c>
      <c r="J985">
        <v>29</v>
      </c>
      <c r="K985">
        <v>1</v>
      </c>
      <c r="L985" t="s">
        <v>142</v>
      </c>
    </row>
    <row r="986" spans="1:12" x14ac:dyDescent="0.3">
      <c r="A986" t="s">
        <v>33</v>
      </c>
      <c r="B986" t="s">
        <v>347</v>
      </c>
      <c r="C986">
        <v>23</v>
      </c>
      <c r="D986" t="s">
        <v>158</v>
      </c>
      <c r="E986" t="s">
        <v>2506</v>
      </c>
      <c r="F986" t="s">
        <v>2507</v>
      </c>
      <c r="G986" t="s">
        <v>330</v>
      </c>
      <c r="H986" t="s">
        <v>194</v>
      </c>
      <c r="I986">
        <v>183</v>
      </c>
      <c r="J986">
        <v>61</v>
      </c>
      <c r="K986">
        <v>3</v>
      </c>
      <c r="L986" t="s">
        <v>142</v>
      </c>
    </row>
    <row r="987" spans="1:12" x14ac:dyDescent="0.3">
      <c r="A987" t="s">
        <v>33</v>
      </c>
      <c r="B987" t="s">
        <v>347</v>
      </c>
      <c r="C987">
        <v>24</v>
      </c>
      <c r="D987" t="s">
        <v>143</v>
      </c>
      <c r="E987" t="s">
        <v>2508</v>
      </c>
      <c r="F987" t="s">
        <v>2509</v>
      </c>
      <c r="G987" t="s">
        <v>739</v>
      </c>
      <c r="H987" t="s">
        <v>347</v>
      </c>
      <c r="I987">
        <v>178</v>
      </c>
      <c r="J987">
        <v>29</v>
      </c>
      <c r="K987">
        <v>1</v>
      </c>
      <c r="L987" t="s">
        <v>142</v>
      </c>
    </row>
    <row r="988" spans="1:12" x14ac:dyDescent="0.3">
      <c r="A988" t="s">
        <v>33</v>
      </c>
      <c r="B988" t="s">
        <v>347</v>
      </c>
      <c r="C988">
        <v>25</v>
      </c>
      <c r="D988" t="s">
        <v>163</v>
      </c>
      <c r="E988" t="s">
        <v>2510</v>
      </c>
      <c r="F988" t="s">
        <v>2511</v>
      </c>
      <c r="G988" t="s">
        <v>913</v>
      </c>
      <c r="H988" t="s">
        <v>347</v>
      </c>
      <c r="I988">
        <v>180</v>
      </c>
      <c r="J988">
        <v>5</v>
      </c>
      <c r="K988">
        <v>1</v>
      </c>
      <c r="L988" t="s">
        <v>142</v>
      </c>
    </row>
    <row r="989" spans="1:12" x14ac:dyDescent="0.3">
      <c r="A989" t="s">
        <v>33</v>
      </c>
      <c r="B989" t="s">
        <v>347</v>
      </c>
      <c r="C989">
        <v>26</v>
      </c>
      <c r="D989" t="s">
        <v>143</v>
      </c>
      <c r="E989" t="s">
        <v>2512</v>
      </c>
      <c r="F989" t="s">
        <v>2513</v>
      </c>
      <c r="G989" t="s">
        <v>1010</v>
      </c>
      <c r="H989" t="s">
        <v>573</v>
      </c>
      <c r="I989">
        <v>189</v>
      </c>
      <c r="J989">
        <v>51</v>
      </c>
      <c r="K989">
        <v>1</v>
      </c>
      <c r="L989" t="s">
        <v>142</v>
      </c>
    </row>
    <row r="990" spans="1:12" x14ac:dyDescent="0.3">
      <c r="A990" t="s">
        <v>55</v>
      </c>
      <c r="B990" t="s">
        <v>2514</v>
      </c>
      <c r="C990">
        <v>1</v>
      </c>
      <c r="D990" t="s">
        <v>137</v>
      </c>
      <c r="E990" t="s">
        <v>2515</v>
      </c>
      <c r="F990" t="s">
        <v>2033</v>
      </c>
      <c r="G990" t="s">
        <v>190</v>
      </c>
      <c r="H990" t="s">
        <v>147</v>
      </c>
      <c r="I990">
        <v>188</v>
      </c>
      <c r="J990">
        <v>2</v>
      </c>
      <c r="K990">
        <v>0</v>
      </c>
      <c r="L990" t="s">
        <v>142</v>
      </c>
    </row>
    <row r="991" spans="1:12" x14ac:dyDescent="0.3">
      <c r="A991" t="s">
        <v>55</v>
      </c>
      <c r="B991" t="s">
        <v>2514</v>
      </c>
      <c r="C991">
        <v>2</v>
      </c>
      <c r="D991" t="s">
        <v>143</v>
      </c>
      <c r="E991" t="s">
        <v>2516</v>
      </c>
      <c r="F991" t="s">
        <v>2517</v>
      </c>
      <c r="G991" t="s">
        <v>297</v>
      </c>
      <c r="H991" t="s">
        <v>194</v>
      </c>
      <c r="I991">
        <v>194</v>
      </c>
      <c r="J991">
        <v>8</v>
      </c>
      <c r="K991">
        <v>0</v>
      </c>
      <c r="L991" t="s">
        <v>142</v>
      </c>
    </row>
    <row r="992" spans="1:12" x14ac:dyDescent="0.3">
      <c r="A992" t="s">
        <v>55</v>
      </c>
      <c r="B992" t="s">
        <v>2514</v>
      </c>
      <c r="C992">
        <v>3</v>
      </c>
      <c r="D992" t="s">
        <v>143</v>
      </c>
      <c r="E992" t="s">
        <v>2518</v>
      </c>
      <c r="F992" t="s">
        <v>2519</v>
      </c>
      <c r="G992" t="s">
        <v>1400</v>
      </c>
      <c r="H992" t="s">
        <v>167</v>
      </c>
      <c r="I992">
        <v>186</v>
      </c>
      <c r="J992">
        <v>106</v>
      </c>
      <c r="K992">
        <v>2</v>
      </c>
      <c r="L992" t="s">
        <v>142</v>
      </c>
    </row>
    <row r="993" spans="1:12" x14ac:dyDescent="0.3">
      <c r="A993" t="s">
        <v>55</v>
      </c>
      <c r="B993" t="s">
        <v>2514</v>
      </c>
      <c r="C993">
        <v>4</v>
      </c>
      <c r="D993" t="s">
        <v>143</v>
      </c>
      <c r="E993" t="s">
        <v>2520</v>
      </c>
      <c r="F993" t="s">
        <v>2521</v>
      </c>
      <c r="G993" t="s">
        <v>1103</v>
      </c>
      <c r="H993" t="s">
        <v>733</v>
      </c>
      <c r="I993">
        <v>192</v>
      </c>
      <c r="J993">
        <v>24</v>
      </c>
      <c r="K993">
        <v>4</v>
      </c>
      <c r="L993" t="s">
        <v>142</v>
      </c>
    </row>
    <row r="994" spans="1:12" x14ac:dyDescent="0.3">
      <c r="A994" t="s">
        <v>55</v>
      </c>
      <c r="B994" t="s">
        <v>2514</v>
      </c>
      <c r="C994">
        <v>5</v>
      </c>
      <c r="D994" t="s">
        <v>158</v>
      </c>
      <c r="E994" t="s">
        <v>2522</v>
      </c>
      <c r="F994" t="s">
        <v>2523</v>
      </c>
      <c r="G994" t="s">
        <v>1313</v>
      </c>
      <c r="H994" t="s">
        <v>194</v>
      </c>
      <c r="I994">
        <v>174</v>
      </c>
      <c r="J994">
        <v>140</v>
      </c>
      <c r="K994">
        <v>7</v>
      </c>
      <c r="L994" t="s">
        <v>142</v>
      </c>
    </row>
    <row r="995" spans="1:12" x14ac:dyDescent="0.3">
      <c r="A995" t="s">
        <v>55</v>
      </c>
      <c r="B995" t="s">
        <v>2514</v>
      </c>
      <c r="C995">
        <v>6</v>
      </c>
      <c r="D995" t="s">
        <v>158</v>
      </c>
      <c r="E995" t="s">
        <v>2524</v>
      </c>
      <c r="F995" t="s">
        <v>2525</v>
      </c>
      <c r="G995" t="s">
        <v>1479</v>
      </c>
      <c r="H995" t="s">
        <v>219</v>
      </c>
      <c r="I995">
        <v>186</v>
      </c>
      <c r="J995">
        <v>35</v>
      </c>
      <c r="K995">
        <v>0</v>
      </c>
      <c r="L995" t="s">
        <v>142</v>
      </c>
    </row>
    <row r="996" spans="1:12" x14ac:dyDescent="0.3">
      <c r="A996" t="s">
        <v>55</v>
      </c>
      <c r="B996" t="s">
        <v>2514</v>
      </c>
      <c r="C996">
        <v>7</v>
      </c>
      <c r="D996" t="s">
        <v>163</v>
      </c>
      <c r="E996" t="s">
        <v>2526</v>
      </c>
      <c r="F996" t="s">
        <v>2527</v>
      </c>
      <c r="G996" t="s">
        <v>277</v>
      </c>
      <c r="H996" t="s">
        <v>200</v>
      </c>
      <c r="I996">
        <v>185</v>
      </c>
      <c r="J996">
        <v>6</v>
      </c>
      <c r="K996">
        <v>0</v>
      </c>
      <c r="L996" t="s">
        <v>142</v>
      </c>
    </row>
    <row r="997" spans="1:12" x14ac:dyDescent="0.3">
      <c r="A997" t="s">
        <v>55</v>
      </c>
      <c r="B997" t="s">
        <v>2514</v>
      </c>
      <c r="C997">
        <v>8</v>
      </c>
      <c r="D997" t="s">
        <v>158</v>
      </c>
      <c r="E997" t="s">
        <v>2528</v>
      </c>
      <c r="F997" t="s">
        <v>2529</v>
      </c>
      <c r="G997" t="s">
        <v>971</v>
      </c>
      <c r="H997" t="s">
        <v>147</v>
      </c>
      <c r="I997">
        <v>174</v>
      </c>
      <c r="J997">
        <v>49</v>
      </c>
      <c r="K997">
        <v>7</v>
      </c>
      <c r="L997" t="s">
        <v>142</v>
      </c>
    </row>
    <row r="998" spans="1:12" x14ac:dyDescent="0.3">
      <c r="A998" t="s">
        <v>55</v>
      </c>
      <c r="B998" t="s">
        <v>2514</v>
      </c>
      <c r="C998">
        <v>9</v>
      </c>
      <c r="D998" t="s">
        <v>163</v>
      </c>
      <c r="E998" t="s">
        <v>2530</v>
      </c>
      <c r="F998" t="s">
        <v>2531</v>
      </c>
      <c r="G998" t="s">
        <v>2532</v>
      </c>
      <c r="H998" t="s">
        <v>147</v>
      </c>
      <c r="I998">
        <v>178</v>
      </c>
      <c r="J998">
        <v>24</v>
      </c>
      <c r="K998">
        <v>2</v>
      </c>
      <c r="L998" t="s">
        <v>142</v>
      </c>
    </row>
    <row r="999" spans="1:12" x14ac:dyDescent="0.3">
      <c r="A999" t="s">
        <v>55</v>
      </c>
      <c r="B999" t="s">
        <v>2514</v>
      </c>
      <c r="C999">
        <v>10</v>
      </c>
      <c r="D999" t="s">
        <v>163</v>
      </c>
      <c r="E999" t="s">
        <v>2533</v>
      </c>
      <c r="F999" t="s">
        <v>2534</v>
      </c>
      <c r="G999" t="s">
        <v>2319</v>
      </c>
      <c r="H999" t="s">
        <v>167</v>
      </c>
      <c r="I999">
        <v>175</v>
      </c>
      <c r="J999">
        <v>134</v>
      </c>
      <c r="K999">
        <v>54</v>
      </c>
      <c r="L999" t="s">
        <v>142</v>
      </c>
    </row>
    <row r="1000" spans="1:12" x14ac:dyDescent="0.3">
      <c r="A1000" t="s">
        <v>55</v>
      </c>
      <c r="B1000" t="s">
        <v>2514</v>
      </c>
      <c r="C1000">
        <v>11</v>
      </c>
      <c r="D1000" t="s">
        <v>163</v>
      </c>
      <c r="E1000" t="s">
        <v>2535</v>
      </c>
      <c r="F1000" t="s">
        <v>2323</v>
      </c>
      <c r="G1000" t="s">
        <v>437</v>
      </c>
      <c r="H1000" t="s">
        <v>177</v>
      </c>
      <c r="I1000">
        <v>187</v>
      </c>
      <c r="J1000">
        <v>38</v>
      </c>
      <c r="K1000">
        <v>8</v>
      </c>
      <c r="L1000" t="s">
        <v>142</v>
      </c>
    </row>
    <row r="1001" spans="1:12" x14ac:dyDescent="0.3">
      <c r="A1001" t="s">
        <v>55</v>
      </c>
      <c r="B1001" t="s">
        <v>2514</v>
      </c>
      <c r="C1001">
        <v>12</v>
      </c>
      <c r="D1001" t="s">
        <v>163</v>
      </c>
      <c r="E1001" t="s">
        <v>2536</v>
      </c>
      <c r="F1001" t="s">
        <v>2487</v>
      </c>
      <c r="G1001" t="s">
        <v>2537</v>
      </c>
      <c r="H1001" t="s">
        <v>523</v>
      </c>
      <c r="I1001">
        <v>190</v>
      </c>
      <c r="J1001">
        <v>19</v>
      </c>
      <c r="K1001">
        <v>4</v>
      </c>
      <c r="L1001" t="s">
        <v>142</v>
      </c>
    </row>
    <row r="1002" spans="1:12" x14ac:dyDescent="0.3">
      <c r="A1002" t="s">
        <v>55</v>
      </c>
      <c r="B1002" t="s">
        <v>2514</v>
      </c>
      <c r="C1002">
        <v>13</v>
      </c>
      <c r="D1002" t="s">
        <v>163</v>
      </c>
      <c r="E1002" t="s">
        <v>2538</v>
      </c>
      <c r="F1002" t="s">
        <v>2539</v>
      </c>
      <c r="G1002" t="s">
        <v>1313</v>
      </c>
      <c r="H1002" t="s">
        <v>194</v>
      </c>
      <c r="I1002">
        <v>180</v>
      </c>
      <c r="J1002">
        <v>44</v>
      </c>
      <c r="K1002">
        <v>5</v>
      </c>
      <c r="L1002" t="s">
        <v>142</v>
      </c>
    </row>
    <row r="1003" spans="1:12" x14ac:dyDescent="0.3">
      <c r="A1003" t="s">
        <v>55</v>
      </c>
      <c r="B1003" t="s">
        <v>2514</v>
      </c>
      <c r="C1003">
        <v>14</v>
      </c>
      <c r="D1003" t="s">
        <v>143</v>
      </c>
      <c r="E1003" t="s">
        <v>2540</v>
      </c>
      <c r="F1003" t="s">
        <v>2541</v>
      </c>
      <c r="G1003" t="s">
        <v>861</v>
      </c>
      <c r="H1003" t="s">
        <v>523</v>
      </c>
      <c r="I1003">
        <v>184</v>
      </c>
      <c r="J1003">
        <v>34</v>
      </c>
      <c r="K1003">
        <v>0</v>
      </c>
      <c r="L1003" t="s">
        <v>142</v>
      </c>
    </row>
    <row r="1004" spans="1:12" x14ac:dyDescent="0.3">
      <c r="A1004" t="s">
        <v>55</v>
      </c>
      <c r="B1004" t="s">
        <v>2514</v>
      </c>
      <c r="C1004">
        <v>15</v>
      </c>
      <c r="D1004" t="s">
        <v>143</v>
      </c>
      <c r="E1004" t="s">
        <v>2542</v>
      </c>
      <c r="F1004" t="s">
        <v>2096</v>
      </c>
      <c r="G1004" t="s">
        <v>971</v>
      </c>
      <c r="H1004" t="s">
        <v>147</v>
      </c>
      <c r="I1004">
        <v>173</v>
      </c>
      <c r="J1004">
        <v>66</v>
      </c>
      <c r="K1004">
        <v>2</v>
      </c>
      <c r="L1004" t="s">
        <v>142</v>
      </c>
    </row>
    <row r="1005" spans="1:12" x14ac:dyDescent="0.3">
      <c r="A1005" t="s">
        <v>55</v>
      </c>
      <c r="B1005" t="s">
        <v>2514</v>
      </c>
      <c r="C1005">
        <v>16</v>
      </c>
      <c r="D1005" t="s">
        <v>137</v>
      </c>
      <c r="E1005" t="s">
        <v>2543</v>
      </c>
      <c r="F1005" t="s">
        <v>2544</v>
      </c>
      <c r="G1005" t="s">
        <v>166</v>
      </c>
      <c r="H1005" t="s">
        <v>167</v>
      </c>
      <c r="I1005">
        <v>194</v>
      </c>
      <c r="J1005">
        <v>60</v>
      </c>
      <c r="K1005">
        <v>0</v>
      </c>
      <c r="L1005" t="s">
        <v>142</v>
      </c>
    </row>
    <row r="1006" spans="1:12" x14ac:dyDescent="0.3">
      <c r="A1006" t="s">
        <v>55</v>
      </c>
      <c r="B1006" t="s">
        <v>2514</v>
      </c>
      <c r="C1006">
        <v>17</v>
      </c>
      <c r="D1006" t="s">
        <v>158</v>
      </c>
      <c r="E1006" t="s">
        <v>2545</v>
      </c>
      <c r="F1006" t="s">
        <v>2546</v>
      </c>
      <c r="G1006" t="s">
        <v>266</v>
      </c>
      <c r="H1006" t="s">
        <v>194</v>
      </c>
      <c r="I1006">
        <v>185</v>
      </c>
      <c r="J1006">
        <v>43</v>
      </c>
      <c r="K1006">
        <v>4</v>
      </c>
      <c r="L1006" t="s">
        <v>142</v>
      </c>
    </row>
    <row r="1007" spans="1:12" x14ac:dyDescent="0.3">
      <c r="A1007" t="s">
        <v>55</v>
      </c>
      <c r="B1007" t="s">
        <v>2514</v>
      </c>
      <c r="C1007">
        <v>18</v>
      </c>
      <c r="D1007" t="s">
        <v>163</v>
      </c>
      <c r="E1007" t="s">
        <v>2547</v>
      </c>
      <c r="F1007" t="s">
        <v>2548</v>
      </c>
      <c r="G1007" t="s">
        <v>806</v>
      </c>
      <c r="H1007" t="s">
        <v>194</v>
      </c>
      <c r="I1007">
        <v>185</v>
      </c>
      <c r="J1007">
        <v>88</v>
      </c>
      <c r="K1007">
        <v>23</v>
      </c>
      <c r="L1007" t="s">
        <v>142</v>
      </c>
    </row>
    <row r="1008" spans="1:12" x14ac:dyDescent="0.3">
      <c r="A1008" t="s">
        <v>55</v>
      </c>
      <c r="B1008" t="s">
        <v>2514</v>
      </c>
      <c r="C1008">
        <v>19</v>
      </c>
      <c r="D1008" t="s">
        <v>143</v>
      </c>
      <c r="E1008" t="s">
        <v>2549</v>
      </c>
      <c r="F1008" t="s">
        <v>2550</v>
      </c>
      <c r="G1008" t="s">
        <v>239</v>
      </c>
      <c r="H1008" t="s">
        <v>147</v>
      </c>
      <c r="I1008">
        <v>190</v>
      </c>
      <c r="J1008">
        <v>36</v>
      </c>
      <c r="K1008">
        <v>0</v>
      </c>
      <c r="L1008" t="s">
        <v>142</v>
      </c>
    </row>
    <row r="1009" spans="1:12" x14ac:dyDescent="0.3">
      <c r="A1009" t="s">
        <v>55</v>
      </c>
      <c r="B1009" t="s">
        <v>2514</v>
      </c>
      <c r="C1009">
        <v>20</v>
      </c>
      <c r="D1009" t="s">
        <v>163</v>
      </c>
      <c r="E1009" t="s">
        <v>2551</v>
      </c>
      <c r="F1009" t="s">
        <v>2552</v>
      </c>
      <c r="G1009" t="s">
        <v>597</v>
      </c>
      <c r="H1009" t="s">
        <v>147</v>
      </c>
      <c r="I1009">
        <v>175</v>
      </c>
      <c r="J1009">
        <v>15</v>
      </c>
      <c r="K1009">
        <v>4</v>
      </c>
      <c r="L1009" t="s">
        <v>142</v>
      </c>
    </row>
    <row r="1010" spans="1:12" x14ac:dyDescent="0.3">
      <c r="A1010" t="s">
        <v>55</v>
      </c>
      <c r="B1010" t="s">
        <v>2514</v>
      </c>
      <c r="C1010">
        <v>21</v>
      </c>
      <c r="D1010" t="s">
        <v>158</v>
      </c>
      <c r="E1010" t="s">
        <v>2553</v>
      </c>
      <c r="F1010" t="s">
        <v>2554</v>
      </c>
      <c r="G1010" t="s">
        <v>910</v>
      </c>
      <c r="H1010" t="s">
        <v>194</v>
      </c>
      <c r="I1010">
        <v>178</v>
      </c>
      <c r="J1010">
        <v>24</v>
      </c>
      <c r="K1010">
        <v>6</v>
      </c>
      <c r="L1010" t="s">
        <v>142</v>
      </c>
    </row>
    <row r="1011" spans="1:12" x14ac:dyDescent="0.3">
      <c r="A1011" t="s">
        <v>55</v>
      </c>
      <c r="B1011" t="s">
        <v>2514</v>
      </c>
      <c r="C1011">
        <v>22</v>
      </c>
      <c r="D1011" t="s">
        <v>158</v>
      </c>
      <c r="E1011" t="s">
        <v>2555</v>
      </c>
      <c r="F1011" t="s">
        <v>2556</v>
      </c>
      <c r="G1011" t="s">
        <v>437</v>
      </c>
      <c r="H1011" t="s">
        <v>177</v>
      </c>
      <c r="I1011">
        <v>180</v>
      </c>
      <c r="J1011">
        <v>2</v>
      </c>
      <c r="K1011">
        <v>0</v>
      </c>
      <c r="L1011" t="s">
        <v>142</v>
      </c>
    </row>
    <row r="1012" spans="1:12" x14ac:dyDescent="0.3">
      <c r="A1012" t="s">
        <v>55</v>
      </c>
      <c r="B1012" t="s">
        <v>2514</v>
      </c>
      <c r="C1012">
        <v>23</v>
      </c>
      <c r="D1012" t="s">
        <v>137</v>
      </c>
      <c r="E1012" t="s">
        <v>2557</v>
      </c>
      <c r="F1012" t="s">
        <v>2558</v>
      </c>
      <c r="G1012" t="s">
        <v>873</v>
      </c>
      <c r="H1012" t="s">
        <v>147</v>
      </c>
      <c r="I1012">
        <v>197</v>
      </c>
      <c r="J1012">
        <v>8</v>
      </c>
      <c r="K1012">
        <v>0</v>
      </c>
      <c r="L1012" t="s">
        <v>142</v>
      </c>
    </row>
    <row r="1013" spans="1:12" x14ac:dyDescent="0.3">
      <c r="A1013" t="s">
        <v>55</v>
      </c>
      <c r="B1013" t="s">
        <v>2514</v>
      </c>
      <c r="C1013">
        <v>24</v>
      </c>
      <c r="D1013" t="s">
        <v>143</v>
      </c>
      <c r="E1013" t="s">
        <v>2559</v>
      </c>
      <c r="F1013" t="s">
        <v>2560</v>
      </c>
      <c r="G1013" t="s">
        <v>190</v>
      </c>
      <c r="H1013" t="s">
        <v>147</v>
      </c>
      <c r="I1013">
        <v>187</v>
      </c>
      <c r="J1013">
        <v>7</v>
      </c>
      <c r="K1013">
        <v>0</v>
      </c>
      <c r="L1013" t="s">
        <v>142</v>
      </c>
    </row>
    <row r="1014" spans="1:12" x14ac:dyDescent="0.3">
      <c r="A1014" t="s">
        <v>55</v>
      </c>
      <c r="B1014" t="s">
        <v>2514</v>
      </c>
      <c r="C1014">
        <v>25</v>
      </c>
      <c r="D1014" t="s">
        <v>143</v>
      </c>
      <c r="E1014" t="s">
        <v>2561</v>
      </c>
      <c r="F1014" t="s">
        <v>2562</v>
      </c>
      <c r="G1014" t="s">
        <v>876</v>
      </c>
      <c r="H1014" t="s">
        <v>194</v>
      </c>
      <c r="I1014">
        <v>177</v>
      </c>
      <c r="J1014">
        <v>23</v>
      </c>
      <c r="K1014">
        <v>1</v>
      </c>
      <c r="L1014" t="s">
        <v>142</v>
      </c>
    </row>
    <row r="1015" spans="1:12" x14ac:dyDescent="0.3">
      <c r="A1015" t="s">
        <v>55</v>
      </c>
      <c r="B1015" t="s">
        <v>2514</v>
      </c>
      <c r="C1015">
        <v>26</v>
      </c>
      <c r="D1015" t="s">
        <v>158</v>
      </c>
      <c r="E1015" t="s">
        <v>2563</v>
      </c>
      <c r="F1015" t="s">
        <v>2564</v>
      </c>
      <c r="G1015" t="s">
        <v>670</v>
      </c>
      <c r="H1015" t="s">
        <v>219</v>
      </c>
      <c r="I1015">
        <v>189</v>
      </c>
      <c r="J1015">
        <v>46</v>
      </c>
      <c r="K1015">
        <v>8</v>
      </c>
      <c r="L1015" t="s">
        <v>142</v>
      </c>
    </row>
    <row r="1016" spans="1:12" x14ac:dyDescent="0.3">
      <c r="A1016" t="s">
        <v>16</v>
      </c>
      <c r="B1016" t="s">
        <v>2565</v>
      </c>
      <c r="C1016">
        <v>1</v>
      </c>
      <c r="D1016" t="s">
        <v>137</v>
      </c>
      <c r="E1016" t="s">
        <v>2566</v>
      </c>
      <c r="F1016" t="s">
        <v>2567</v>
      </c>
      <c r="G1016" t="s">
        <v>2568</v>
      </c>
      <c r="H1016" t="s">
        <v>2565</v>
      </c>
      <c r="I1016">
        <v>184</v>
      </c>
      <c r="J1016">
        <v>68</v>
      </c>
      <c r="K1016">
        <v>0</v>
      </c>
      <c r="L1016" t="s">
        <v>142</v>
      </c>
    </row>
    <row r="1017" spans="1:12" x14ac:dyDescent="0.3">
      <c r="A1017" t="s">
        <v>16</v>
      </c>
      <c r="B1017" t="s">
        <v>2565</v>
      </c>
      <c r="C1017">
        <v>2</v>
      </c>
      <c r="D1017" t="s">
        <v>143</v>
      </c>
      <c r="E1017" t="s">
        <v>2569</v>
      </c>
      <c r="F1017" t="s">
        <v>1319</v>
      </c>
      <c r="G1017" t="s">
        <v>2570</v>
      </c>
      <c r="H1017" t="s">
        <v>2565</v>
      </c>
      <c r="I1017">
        <v>189</v>
      </c>
      <c r="J1017">
        <v>3</v>
      </c>
      <c r="K1017">
        <v>0</v>
      </c>
      <c r="L1017" t="s">
        <v>142</v>
      </c>
    </row>
    <row r="1018" spans="1:12" x14ac:dyDescent="0.3">
      <c r="A1018" t="s">
        <v>16</v>
      </c>
      <c r="B1018" t="s">
        <v>2565</v>
      </c>
      <c r="C1018">
        <v>3</v>
      </c>
      <c r="D1018" t="s">
        <v>143</v>
      </c>
      <c r="E1018" t="s">
        <v>2571</v>
      </c>
      <c r="F1018" t="s">
        <v>2572</v>
      </c>
      <c r="G1018" t="s">
        <v>2568</v>
      </c>
      <c r="H1018" t="s">
        <v>2565</v>
      </c>
      <c r="I1018">
        <v>183</v>
      </c>
      <c r="J1018">
        <v>5</v>
      </c>
      <c r="K1018">
        <v>0</v>
      </c>
      <c r="L1018" t="s">
        <v>142</v>
      </c>
    </row>
    <row r="1019" spans="1:12" x14ac:dyDescent="0.3">
      <c r="A1019" t="s">
        <v>16</v>
      </c>
      <c r="B1019" t="s">
        <v>2565</v>
      </c>
      <c r="C1019">
        <v>4</v>
      </c>
      <c r="D1019" t="s">
        <v>158</v>
      </c>
      <c r="E1019" t="s">
        <v>2573</v>
      </c>
      <c r="F1019" t="s">
        <v>2574</v>
      </c>
      <c r="G1019" t="s">
        <v>2568</v>
      </c>
      <c r="H1019" t="s">
        <v>2565</v>
      </c>
      <c r="I1019">
        <v>177</v>
      </c>
      <c r="J1019">
        <v>60</v>
      </c>
      <c r="K1019">
        <v>10</v>
      </c>
      <c r="L1019" t="s">
        <v>142</v>
      </c>
    </row>
    <row r="1020" spans="1:12" x14ac:dyDescent="0.3">
      <c r="A1020" t="s">
        <v>16</v>
      </c>
      <c r="B1020" t="s">
        <v>2565</v>
      </c>
      <c r="C1020">
        <v>5</v>
      </c>
      <c r="D1020" t="s">
        <v>158</v>
      </c>
      <c r="E1020" t="s">
        <v>2575</v>
      </c>
      <c r="F1020" t="s">
        <v>2539</v>
      </c>
      <c r="G1020" t="s">
        <v>2576</v>
      </c>
      <c r="H1020" t="s">
        <v>2565</v>
      </c>
      <c r="I1020">
        <v>179</v>
      </c>
      <c r="J1020">
        <v>20</v>
      </c>
      <c r="K1020">
        <v>3</v>
      </c>
      <c r="L1020" t="s">
        <v>142</v>
      </c>
    </row>
    <row r="1021" spans="1:12" x14ac:dyDescent="0.3">
      <c r="A1021" t="s">
        <v>16</v>
      </c>
      <c r="B1021" t="s">
        <v>2565</v>
      </c>
      <c r="C1021">
        <v>6</v>
      </c>
      <c r="D1021" t="s">
        <v>143</v>
      </c>
      <c r="E1021" t="s">
        <v>2577</v>
      </c>
      <c r="F1021" t="s">
        <v>2578</v>
      </c>
      <c r="G1021" t="s">
        <v>2568</v>
      </c>
      <c r="H1021" t="s">
        <v>2565</v>
      </c>
      <c r="I1021">
        <v>171</v>
      </c>
      <c r="J1021">
        <v>52</v>
      </c>
      <c r="K1021">
        <v>3</v>
      </c>
      <c r="L1021" t="s">
        <v>142</v>
      </c>
    </row>
    <row r="1022" spans="1:12" x14ac:dyDescent="0.3">
      <c r="A1022" t="s">
        <v>16</v>
      </c>
      <c r="B1022" t="s">
        <v>2565</v>
      </c>
      <c r="C1022">
        <v>7</v>
      </c>
      <c r="D1022" t="s">
        <v>163</v>
      </c>
      <c r="E1022" t="s">
        <v>2579</v>
      </c>
      <c r="F1022" t="s">
        <v>1876</v>
      </c>
      <c r="G1022" t="s">
        <v>2576</v>
      </c>
      <c r="H1022" t="s">
        <v>2565</v>
      </c>
      <c r="I1022">
        <v>171</v>
      </c>
      <c r="J1022">
        <v>31</v>
      </c>
      <c r="K1022">
        <v>8</v>
      </c>
      <c r="L1022" t="s">
        <v>142</v>
      </c>
    </row>
    <row r="1023" spans="1:12" x14ac:dyDescent="0.3">
      <c r="A1023" t="s">
        <v>16</v>
      </c>
      <c r="B1023" t="s">
        <v>2565</v>
      </c>
      <c r="C1023">
        <v>8</v>
      </c>
      <c r="D1023" t="s">
        <v>163</v>
      </c>
      <c r="E1023" t="s">
        <v>2580</v>
      </c>
      <c r="F1023" t="s">
        <v>2581</v>
      </c>
      <c r="G1023" t="s">
        <v>2576</v>
      </c>
      <c r="H1023" t="s">
        <v>2565</v>
      </c>
      <c r="I1023">
        <v>169</v>
      </c>
      <c r="J1023">
        <v>12</v>
      </c>
      <c r="K1023">
        <v>1</v>
      </c>
      <c r="L1023" t="s">
        <v>142</v>
      </c>
    </row>
    <row r="1024" spans="1:12" x14ac:dyDescent="0.3">
      <c r="A1024" t="s">
        <v>16</v>
      </c>
      <c r="B1024" t="s">
        <v>2565</v>
      </c>
      <c r="C1024">
        <v>9</v>
      </c>
      <c r="D1024" t="s">
        <v>163</v>
      </c>
      <c r="E1024" t="s">
        <v>2582</v>
      </c>
      <c r="F1024" t="s">
        <v>2583</v>
      </c>
      <c r="G1024" t="s">
        <v>882</v>
      </c>
      <c r="H1024" t="s">
        <v>194</v>
      </c>
      <c r="I1024">
        <v>185</v>
      </c>
      <c r="J1024">
        <v>32</v>
      </c>
      <c r="K1024">
        <v>10</v>
      </c>
      <c r="L1024" t="s">
        <v>142</v>
      </c>
    </row>
    <row r="1025" spans="1:12" x14ac:dyDescent="0.3">
      <c r="A1025" t="s">
        <v>16</v>
      </c>
      <c r="B1025" t="s">
        <v>2565</v>
      </c>
      <c r="C1025">
        <v>10</v>
      </c>
      <c r="D1025" t="s">
        <v>163</v>
      </c>
      <c r="E1025" t="s">
        <v>2584</v>
      </c>
      <c r="F1025" t="s">
        <v>2585</v>
      </c>
      <c r="G1025" t="s">
        <v>2576</v>
      </c>
      <c r="H1025" t="s">
        <v>2565</v>
      </c>
      <c r="I1025">
        <v>168</v>
      </c>
      <c r="J1025">
        <v>17</v>
      </c>
      <c r="K1025">
        <v>1</v>
      </c>
      <c r="L1025" t="s">
        <v>142</v>
      </c>
    </row>
    <row r="1026" spans="1:12" x14ac:dyDescent="0.3">
      <c r="A1026" t="s">
        <v>16</v>
      </c>
      <c r="B1026" t="s">
        <v>2565</v>
      </c>
      <c r="C1026">
        <v>11</v>
      </c>
      <c r="D1026" t="s">
        <v>158</v>
      </c>
      <c r="E1026" t="s">
        <v>2586</v>
      </c>
      <c r="F1026" t="s">
        <v>2587</v>
      </c>
      <c r="G1026" t="s">
        <v>2568</v>
      </c>
      <c r="H1026" t="s">
        <v>2565</v>
      </c>
      <c r="I1026">
        <v>178</v>
      </c>
      <c r="J1026">
        <v>56</v>
      </c>
      <c r="K1026">
        <v>12</v>
      </c>
      <c r="L1026" t="s">
        <v>142</v>
      </c>
    </row>
    <row r="1027" spans="1:12" x14ac:dyDescent="0.3">
      <c r="A1027" t="s">
        <v>16</v>
      </c>
      <c r="B1027" t="s">
        <v>2565</v>
      </c>
      <c r="C1027">
        <v>12</v>
      </c>
      <c r="D1027" t="s">
        <v>163</v>
      </c>
      <c r="E1027" t="s">
        <v>2588</v>
      </c>
      <c r="F1027" t="s">
        <v>2589</v>
      </c>
      <c r="G1027" t="s">
        <v>1931</v>
      </c>
      <c r="H1027" t="s">
        <v>308</v>
      </c>
      <c r="I1027">
        <v>178</v>
      </c>
      <c r="J1027">
        <v>11</v>
      </c>
      <c r="K1027">
        <v>2</v>
      </c>
      <c r="L1027" t="s">
        <v>142</v>
      </c>
    </row>
    <row r="1028" spans="1:12" x14ac:dyDescent="0.3">
      <c r="A1028" t="s">
        <v>16</v>
      </c>
      <c r="B1028" t="s">
        <v>2565</v>
      </c>
      <c r="C1028">
        <v>13</v>
      </c>
      <c r="D1028" t="s">
        <v>158</v>
      </c>
      <c r="E1028" t="s">
        <v>2590</v>
      </c>
      <c r="F1028" t="s">
        <v>1777</v>
      </c>
      <c r="G1028" t="s">
        <v>2591</v>
      </c>
      <c r="H1028" t="s">
        <v>281</v>
      </c>
      <c r="I1028">
        <v>197</v>
      </c>
      <c r="J1028">
        <v>32</v>
      </c>
      <c r="K1028">
        <v>1</v>
      </c>
      <c r="L1028" t="s">
        <v>142</v>
      </c>
    </row>
    <row r="1029" spans="1:12" x14ac:dyDescent="0.3">
      <c r="A1029" t="s">
        <v>16</v>
      </c>
      <c r="B1029" t="s">
        <v>2565</v>
      </c>
      <c r="C1029">
        <v>14</v>
      </c>
      <c r="D1029" t="s">
        <v>143</v>
      </c>
      <c r="E1029" t="s">
        <v>2592</v>
      </c>
      <c r="F1029" t="s">
        <v>2593</v>
      </c>
      <c r="G1029" t="s">
        <v>748</v>
      </c>
      <c r="H1029" t="s">
        <v>25</v>
      </c>
      <c r="I1029">
        <v>177</v>
      </c>
      <c r="J1029">
        <v>14</v>
      </c>
      <c r="K1029">
        <v>1</v>
      </c>
      <c r="L1029" t="s">
        <v>142</v>
      </c>
    </row>
    <row r="1030" spans="1:12" x14ac:dyDescent="0.3">
      <c r="A1030" t="s">
        <v>16</v>
      </c>
      <c r="B1030" t="s">
        <v>2565</v>
      </c>
      <c r="C1030">
        <v>15</v>
      </c>
      <c r="D1030" t="s">
        <v>163</v>
      </c>
      <c r="E1030" t="s">
        <v>2594</v>
      </c>
      <c r="F1030" t="s">
        <v>2595</v>
      </c>
      <c r="G1030" t="s">
        <v>2568</v>
      </c>
      <c r="H1030" t="s">
        <v>2565</v>
      </c>
      <c r="I1030">
        <v>174</v>
      </c>
      <c r="J1030">
        <v>24</v>
      </c>
      <c r="K1030">
        <v>5</v>
      </c>
      <c r="L1030" t="s">
        <v>142</v>
      </c>
    </row>
    <row r="1031" spans="1:12" x14ac:dyDescent="0.3">
      <c r="A1031" t="s">
        <v>16</v>
      </c>
      <c r="B1031" t="s">
        <v>2565</v>
      </c>
      <c r="C1031">
        <v>16</v>
      </c>
      <c r="D1031" t="s">
        <v>137</v>
      </c>
      <c r="E1031" t="s">
        <v>2596</v>
      </c>
      <c r="F1031" t="s">
        <v>614</v>
      </c>
      <c r="G1031" t="s">
        <v>2576</v>
      </c>
      <c r="H1031" t="s">
        <v>2565</v>
      </c>
      <c r="I1031">
        <v>186</v>
      </c>
      <c r="J1031">
        <v>4</v>
      </c>
      <c r="K1031">
        <v>0</v>
      </c>
      <c r="L1031" t="s">
        <v>142</v>
      </c>
    </row>
    <row r="1032" spans="1:12" x14ac:dyDescent="0.3">
      <c r="A1032" t="s">
        <v>16</v>
      </c>
      <c r="B1032" t="s">
        <v>2565</v>
      </c>
      <c r="C1032">
        <v>17</v>
      </c>
      <c r="D1032" t="s">
        <v>163</v>
      </c>
      <c r="E1032" t="s">
        <v>2597</v>
      </c>
      <c r="F1032" t="s">
        <v>727</v>
      </c>
      <c r="G1032" t="s">
        <v>2576</v>
      </c>
      <c r="H1032" t="s">
        <v>2565</v>
      </c>
      <c r="I1032">
        <v>183</v>
      </c>
      <c r="J1032">
        <v>31</v>
      </c>
      <c r="K1032">
        <v>6</v>
      </c>
      <c r="L1032" t="s">
        <v>142</v>
      </c>
    </row>
    <row r="1033" spans="1:12" x14ac:dyDescent="0.3">
      <c r="A1033" t="s">
        <v>16</v>
      </c>
      <c r="B1033" t="s">
        <v>2565</v>
      </c>
      <c r="C1033">
        <v>18</v>
      </c>
      <c r="D1033" t="s">
        <v>143</v>
      </c>
      <c r="E1033" t="s">
        <v>2598</v>
      </c>
      <c r="F1033" t="s">
        <v>2599</v>
      </c>
      <c r="G1033" t="s">
        <v>2600</v>
      </c>
      <c r="H1033" t="s">
        <v>1715</v>
      </c>
      <c r="I1033">
        <v>179</v>
      </c>
      <c r="J1033">
        <v>6</v>
      </c>
      <c r="K1033">
        <v>0</v>
      </c>
      <c r="L1033" t="s">
        <v>142</v>
      </c>
    </row>
    <row r="1034" spans="1:12" x14ac:dyDescent="0.3">
      <c r="A1034" t="s">
        <v>16</v>
      </c>
      <c r="B1034" t="s">
        <v>2565</v>
      </c>
      <c r="C1034">
        <v>19</v>
      </c>
      <c r="D1034" t="s">
        <v>143</v>
      </c>
      <c r="E1034" t="s">
        <v>2601</v>
      </c>
      <c r="F1034" t="s">
        <v>2602</v>
      </c>
      <c r="G1034" t="s">
        <v>2576</v>
      </c>
      <c r="H1034" t="s">
        <v>2565</v>
      </c>
      <c r="I1034">
        <v>172</v>
      </c>
      <c r="J1034">
        <v>22</v>
      </c>
      <c r="K1034">
        <v>0</v>
      </c>
      <c r="L1034" t="s">
        <v>142</v>
      </c>
    </row>
    <row r="1035" spans="1:12" x14ac:dyDescent="0.3">
      <c r="A1035" t="s">
        <v>16</v>
      </c>
      <c r="B1035" t="s">
        <v>2565</v>
      </c>
      <c r="C1035">
        <v>20</v>
      </c>
      <c r="D1035" t="s">
        <v>143</v>
      </c>
      <c r="E1035" t="s">
        <v>2603</v>
      </c>
      <c r="F1035" t="s">
        <v>2604</v>
      </c>
      <c r="G1035" t="s">
        <v>2568</v>
      </c>
      <c r="H1035" t="s">
        <v>2565</v>
      </c>
      <c r="I1035">
        <v>179</v>
      </c>
      <c r="J1035">
        <v>38</v>
      </c>
      <c r="K1035">
        <v>1</v>
      </c>
      <c r="L1035" t="s">
        <v>142</v>
      </c>
    </row>
    <row r="1036" spans="1:12" x14ac:dyDescent="0.3">
      <c r="A1036" t="s">
        <v>16</v>
      </c>
      <c r="B1036" t="s">
        <v>2565</v>
      </c>
      <c r="C1036">
        <v>21</v>
      </c>
      <c r="D1036" t="s">
        <v>143</v>
      </c>
      <c r="E1036" t="s">
        <v>2605</v>
      </c>
      <c r="F1036" t="s">
        <v>2606</v>
      </c>
      <c r="G1036" t="s">
        <v>2607</v>
      </c>
      <c r="H1036" t="s">
        <v>177</v>
      </c>
      <c r="I1036">
        <v>187</v>
      </c>
      <c r="J1036">
        <v>12</v>
      </c>
      <c r="K1036">
        <v>1</v>
      </c>
      <c r="L1036" t="s">
        <v>142</v>
      </c>
    </row>
    <row r="1037" spans="1:12" x14ac:dyDescent="0.3">
      <c r="A1037" t="s">
        <v>16</v>
      </c>
      <c r="B1037" t="s">
        <v>2565</v>
      </c>
      <c r="C1037">
        <v>22</v>
      </c>
      <c r="D1037" t="s">
        <v>137</v>
      </c>
      <c r="E1037" t="s">
        <v>2608</v>
      </c>
      <c r="F1037" t="s">
        <v>2609</v>
      </c>
      <c r="G1037" t="s">
        <v>2610</v>
      </c>
      <c r="H1037" t="s">
        <v>2565</v>
      </c>
      <c r="I1037">
        <v>181</v>
      </c>
      <c r="J1037">
        <v>7</v>
      </c>
      <c r="K1037">
        <v>0</v>
      </c>
      <c r="L1037" t="s">
        <v>142</v>
      </c>
    </row>
    <row r="1038" spans="1:12" x14ac:dyDescent="0.3">
      <c r="A1038" t="s">
        <v>16</v>
      </c>
      <c r="B1038" t="s">
        <v>2565</v>
      </c>
      <c r="C1038">
        <v>24</v>
      </c>
      <c r="D1038" t="s">
        <v>143</v>
      </c>
      <c r="E1038" t="s">
        <v>2611</v>
      </c>
      <c r="F1038" t="s">
        <v>2612</v>
      </c>
      <c r="G1038" t="s">
        <v>1573</v>
      </c>
      <c r="H1038" t="s">
        <v>25</v>
      </c>
      <c r="I1038">
        <v>185</v>
      </c>
      <c r="J1038">
        <v>1</v>
      </c>
      <c r="K1038">
        <v>0</v>
      </c>
      <c r="L1038" t="s">
        <v>142</v>
      </c>
    </row>
    <row r="1039" spans="1:12" x14ac:dyDescent="0.3">
      <c r="A1039" t="s">
        <v>16</v>
      </c>
      <c r="B1039" t="s">
        <v>2565</v>
      </c>
      <c r="C1039">
        <v>25</v>
      </c>
      <c r="D1039" t="s">
        <v>163</v>
      </c>
      <c r="E1039" t="s">
        <v>2613</v>
      </c>
      <c r="F1039" t="s">
        <v>2614</v>
      </c>
      <c r="G1039" t="s">
        <v>2576</v>
      </c>
      <c r="H1039" t="s">
        <v>2565</v>
      </c>
      <c r="I1039">
        <v>166</v>
      </c>
      <c r="J1039">
        <v>10</v>
      </c>
      <c r="K1039">
        <v>1</v>
      </c>
      <c r="L1039" t="s">
        <v>142</v>
      </c>
    </row>
    <row r="1040" spans="1:12" x14ac:dyDescent="0.3">
      <c r="A1040" t="s">
        <v>16</v>
      </c>
      <c r="B1040" t="s">
        <v>2565</v>
      </c>
      <c r="C1040">
        <v>26</v>
      </c>
      <c r="D1040" t="s">
        <v>143</v>
      </c>
      <c r="E1040" t="s">
        <v>2615</v>
      </c>
      <c r="F1040" t="s">
        <v>2616</v>
      </c>
      <c r="G1040" t="s">
        <v>2617</v>
      </c>
      <c r="H1040" t="s">
        <v>2565</v>
      </c>
      <c r="I1040">
        <v>175</v>
      </c>
      <c r="J1040">
        <v>1</v>
      </c>
      <c r="K1040">
        <v>0</v>
      </c>
      <c r="L1040" t="s">
        <v>142</v>
      </c>
    </row>
    <row r="1041" spans="1:12" x14ac:dyDescent="0.3">
      <c r="A1041" t="s">
        <v>45</v>
      </c>
      <c r="B1041" t="s">
        <v>219</v>
      </c>
      <c r="C1041">
        <v>1</v>
      </c>
      <c r="D1041" t="s">
        <v>137</v>
      </c>
      <c r="E1041" t="s">
        <v>2618</v>
      </c>
      <c r="F1041" t="s">
        <v>335</v>
      </c>
      <c r="G1041" t="s">
        <v>479</v>
      </c>
      <c r="H1041" t="s">
        <v>194</v>
      </c>
      <c r="I1041">
        <v>186</v>
      </c>
      <c r="J1041">
        <v>13</v>
      </c>
      <c r="K1041">
        <v>0</v>
      </c>
      <c r="L1041" t="s">
        <v>142</v>
      </c>
    </row>
    <row r="1042" spans="1:12" x14ac:dyDescent="0.3">
      <c r="A1042" t="s">
        <v>45</v>
      </c>
      <c r="B1042" t="s">
        <v>219</v>
      </c>
      <c r="C1042">
        <v>2</v>
      </c>
      <c r="D1042" t="s">
        <v>143</v>
      </c>
      <c r="E1042" t="s">
        <v>2619</v>
      </c>
      <c r="F1042" t="s">
        <v>2421</v>
      </c>
      <c r="G1042" t="s">
        <v>233</v>
      </c>
      <c r="H1042" t="s">
        <v>219</v>
      </c>
      <c r="I1042">
        <v>191</v>
      </c>
      <c r="J1042">
        <v>3</v>
      </c>
      <c r="K1042">
        <v>0</v>
      </c>
      <c r="L1042" t="s">
        <v>142</v>
      </c>
    </row>
    <row r="1043" spans="1:12" x14ac:dyDescent="0.3">
      <c r="A1043" t="s">
        <v>45</v>
      </c>
      <c r="B1043" t="s">
        <v>219</v>
      </c>
      <c r="C1043">
        <v>3</v>
      </c>
      <c r="D1043" t="s">
        <v>143</v>
      </c>
      <c r="E1043" t="s">
        <v>2620</v>
      </c>
      <c r="F1043" t="s">
        <v>2621</v>
      </c>
      <c r="G1043" t="s">
        <v>215</v>
      </c>
      <c r="H1043" t="s">
        <v>177</v>
      </c>
      <c r="I1043">
        <v>171</v>
      </c>
      <c r="J1043">
        <v>14</v>
      </c>
      <c r="K1043">
        <v>0</v>
      </c>
      <c r="L1043" t="s">
        <v>142</v>
      </c>
    </row>
    <row r="1044" spans="1:12" x14ac:dyDescent="0.3">
      <c r="A1044" t="s">
        <v>45</v>
      </c>
      <c r="B1044" t="s">
        <v>219</v>
      </c>
      <c r="C1044">
        <v>4</v>
      </c>
      <c r="D1044" t="s">
        <v>143</v>
      </c>
      <c r="E1044" t="s">
        <v>2622</v>
      </c>
      <c r="F1044" t="s">
        <v>2623</v>
      </c>
      <c r="G1044" t="s">
        <v>615</v>
      </c>
      <c r="H1044" t="s">
        <v>219</v>
      </c>
      <c r="I1044">
        <v>183</v>
      </c>
      <c r="J1044">
        <v>22</v>
      </c>
      <c r="K1044">
        <v>0</v>
      </c>
      <c r="L1044" t="s">
        <v>142</v>
      </c>
    </row>
    <row r="1045" spans="1:12" x14ac:dyDescent="0.3">
      <c r="A1045" t="s">
        <v>45</v>
      </c>
      <c r="B1045" t="s">
        <v>219</v>
      </c>
      <c r="C1045">
        <v>5</v>
      </c>
      <c r="D1045" t="s">
        <v>143</v>
      </c>
      <c r="E1045" t="s">
        <v>2624</v>
      </c>
      <c r="F1045" t="s">
        <v>2625</v>
      </c>
      <c r="G1045" t="s">
        <v>233</v>
      </c>
      <c r="H1045" t="s">
        <v>219</v>
      </c>
      <c r="I1045">
        <v>183</v>
      </c>
      <c r="J1045">
        <v>27</v>
      </c>
      <c r="K1045">
        <v>0</v>
      </c>
      <c r="L1045" t="s">
        <v>142</v>
      </c>
    </row>
    <row r="1046" spans="1:12" x14ac:dyDescent="0.3">
      <c r="A1046" t="s">
        <v>45</v>
      </c>
      <c r="B1046" t="s">
        <v>219</v>
      </c>
      <c r="C1046">
        <v>6</v>
      </c>
      <c r="D1046" t="s">
        <v>158</v>
      </c>
      <c r="E1046" t="s">
        <v>2626</v>
      </c>
      <c r="F1046" t="s">
        <v>2627</v>
      </c>
      <c r="G1046" t="s">
        <v>479</v>
      </c>
      <c r="H1046" t="s">
        <v>194</v>
      </c>
      <c r="I1046">
        <v>188</v>
      </c>
      <c r="J1046">
        <v>51</v>
      </c>
      <c r="K1046">
        <v>12</v>
      </c>
      <c r="L1046" t="s">
        <v>142</v>
      </c>
    </row>
    <row r="1047" spans="1:12" x14ac:dyDescent="0.3">
      <c r="A1047" t="s">
        <v>45</v>
      </c>
      <c r="B1047" t="s">
        <v>219</v>
      </c>
      <c r="C1047">
        <v>7</v>
      </c>
      <c r="D1047" t="s">
        <v>163</v>
      </c>
      <c r="E1047" t="s">
        <v>2628</v>
      </c>
      <c r="F1047" t="s">
        <v>2629</v>
      </c>
      <c r="G1047" t="s">
        <v>615</v>
      </c>
      <c r="H1047" t="s">
        <v>219</v>
      </c>
      <c r="I1047">
        <v>183</v>
      </c>
      <c r="J1047">
        <v>65</v>
      </c>
      <c r="K1047">
        <v>25</v>
      </c>
      <c r="L1047" t="s">
        <v>142</v>
      </c>
    </row>
    <row r="1048" spans="1:12" x14ac:dyDescent="0.3">
      <c r="A1048" t="s">
        <v>45</v>
      </c>
      <c r="B1048" t="s">
        <v>219</v>
      </c>
      <c r="C1048">
        <v>8</v>
      </c>
      <c r="D1048" t="s">
        <v>158</v>
      </c>
      <c r="E1048" t="s">
        <v>2630</v>
      </c>
      <c r="F1048" t="s">
        <v>2631</v>
      </c>
      <c r="G1048" t="s">
        <v>597</v>
      </c>
      <c r="H1048" t="s">
        <v>147</v>
      </c>
      <c r="I1048">
        <v>188</v>
      </c>
      <c r="J1048">
        <v>50</v>
      </c>
      <c r="K1048">
        <v>7</v>
      </c>
      <c r="L1048" t="s">
        <v>142</v>
      </c>
    </row>
    <row r="1049" spans="1:12" x14ac:dyDescent="0.3">
      <c r="A1049" t="s">
        <v>45</v>
      </c>
      <c r="B1049" t="s">
        <v>219</v>
      </c>
      <c r="C1049">
        <v>9</v>
      </c>
      <c r="D1049" t="s">
        <v>158</v>
      </c>
      <c r="E1049" t="s">
        <v>2632</v>
      </c>
      <c r="F1049" t="s">
        <v>2633</v>
      </c>
      <c r="G1049" t="s">
        <v>615</v>
      </c>
      <c r="H1049" t="s">
        <v>219</v>
      </c>
      <c r="I1049">
        <v>173</v>
      </c>
      <c r="J1049">
        <v>32</v>
      </c>
      <c r="K1049">
        <v>5</v>
      </c>
      <c r="L1049" t="s">
        <v>142</v>
      </c>
    </row>
    <row r="1050" spans="1:12" x14ac:dyDescent="0.3">
      <c r="A1050" t="s">
        <v>45</v>
      </c>
      <c r="B1050" t="s">
        <v>219</v>
      </c>
      <c r="C1050">
        <v>10</v>
      </c>
      <c r="D1050" t="s">
        <v>163</v>
      </c>
      <c r="E1050" t="s">
        <v>2634</v>
      </c>
      <c r="F1050" t="s">
        <v>2635</v>
      </c>
      <c r="G1050" t="s">
        <v>615</v>
      </c>
      <c r="H1050" t="s">
        <v>219</v>
      </c>
      <c r="I1050">
        <v>179</v>
      </c>
      <c r="J1050">
        <v>58</v>
      </c>
      <c r="K1050">
        <v>12</v>
      </c>
      <c r="L1050" t="s">
        <v>142</v>
      </c>
    </row>
    <row r="1051" spans="1:12" x14ac:dyDescent="0.3">
      <c r="A1051" t="s">
        <v>45</v>
      </c>
      <c r="B1051" t="s">
        <v>219</v>
      </c>
      <c r="C1051">
        <v>11</v>
      </c>
      <c r="D1051" t="s">
        <v>163</v>
      </c>
      <c r="E1051" t="s">
        <v>2636</v>
      </c>
      <c r="F1051" t="s">
        <v>2637</v>
      </c>
      <c r="G1051" t="s">
        <v>806</v>
      </c>
      <c r="H1051" t="s">
        <v>194</v>
      </c>
      <c r="I1051">
        <v>174</v>
      </c>
      <c r="J1051">
        <v>25</v>
      </c>
      <c r="K1051">
        <v>4</v>
      </c>
      <c r="L1051" t="s">
        <v>142</v>
      </c>
    </row>
    <row r="1052" spans="1:12" x14ac:dyDescent="0.3">
      <c r="A1052" t="s">
        <v>45</v>
      </c>
      <c r="B1052" t="s">
        <v>219</v>
      </c>
      <c r="C1052">
        <v>12</v>
      </c>
      <c r="D1052" t="s">
        <v>143</v>
      </c>
      <c r="E1052" t="s">
        <v>2638</v>
      </c>
      <c r="F1052" t="s">
        <v>2446</v>
      </c>
      <c r="G1052" t="s">
        <v>266</v>
      </c>
      <c r="H1052" t="s">
        <v>194</v>
      </c>
      <c r="I1052">
        <v>173</v>
      </c>
      <c r="J1052">
        <v>24</v>
      </c>
      <c r="K1052">
        <v>2</v>
      </c>
      <c r="L1052" t="s">
        <v>142</v>
      </c>
    </row>
    <row r="1053" spans="1:12" x14ac:dyDescent="0.3">
      <c r="A1053" t="s">
        <v>45</v>
      </c>
      <c r="B1053" t="s">
        <v>219</v>
      </c>
      <c r="C1053">
        <v>13</v>
      </c>
      <c r="D1053" t="s">
        <v>137</v>
      </c>
      <c r="E1053" t="s">
        <v>2639</v>
      </c>
      <c r="F1053" t="s">
        <v>396</v>
      </c>
      <c r="G1053" t="s">
        <v>615</v>
      </c>
      <c r="H1053" t="s">
        <v>219</v>
      </c>
      <c r="I1053">
        <v>194</v>
      </c>
      <c r="J1053">
        <v>2</v>
      </c>
      <c r="K1053">
        <v>0</v>
      </c>
      <c r="L1053" t="s">
        <v>142</v>
      </c>
    </row>
    <row r="1054" spans="1:12" x14ac:dyDescent="0.3">
      <c r="A1054" t="s">
        <v>45</v>
      </c>
      <c r="B1054" t="s">
        <v>219</v>
      </c>
      <c r="C1054">
        <v>14</v>
      </c>
      <c r="D1054" t="s">
        <v>143</v>
      </c>
      <c r="E1054" t="s">
        <v>2640</v>
      </c>
      <c r="F1054" t="s">
        <v>2342</v>
      </c>
      <c r="G1054" t="s">
        <v>1512</v>
      </c>
      <c r="H1054" t="s">
        <v>219</v>
      </c>
      <c r="I1054">
        <v>191</v>
      </c>
      <c r="J1054">
        <v>54</v>
      </c>
      <c r="K1054">
        <v>2</v>
      </c>
      <c r="L1054" t="s">
        <v>142</v>
      </c>
    </row>
    <row r="1055" spans="1:12" x14ac:dyDescent="0.3">
      <c r="A1055" t="s">
        <v>45</v>
      </c>
      <c r="B1055" t="s">
        <v>219</v>
      </c>
      <c r="C1055">
        <v>15</v>
      </c>
      <c r="D1055" t="s">
        <v>158</v>
      </c>
      <c r="E1055" t="s">
        <v>2641</v>
      </c>
      <c r="F1055" t="s">
        <v>2642</v>
      </c>
      <c r="G1055" t="s">
        <v>233</v>
      </c>
      <c r="H1055" t="s">
        <v>219</v>
      </c>
      <c r="I1055">
        <v>172</v>
      </c>
      <c r="J1055">
        <v>24</v>
      </c>
      <c r="K1055">
        <v>3</v>
      </c>
      <c r="L1055" t="s">
        <v>142</v>
      </c>
    </row>
    <row r="1056" spans="1:12" x14ac:dyDescent="0.3">
      <c r="A1056" t="s">
        <v>45</v>
      </c>
      <c r="B1056" t="s">
        <v>219</v>
      </c>
      <c r="C1056">
        <v>16</v>
      </c>
      <c r="D1056" t="s">
        <v>158</v>
      </c>
      <c r="E1056" t="s">
        <v>2643</v>
      </c>
      <c r="F1056" t="s">
        <v>2627</v>
      </c>
      <c r="G1056" t="s">
        <v>193</v>
      </c>
      <c r="H1056" t="s">
        <v>194</v>
      </c>
      <c r="I1056">
        <v>190</v>
      </c>
      <c r="J1056">
        <v>70</v>
      </c>
      <c r="K1056">
        <v>4</v>
      </c>
      <c r="L1056" t="s">
        <v>142</v>
      </c>
    </row>
    <row r="1057" spans="1:12" x14ac:dyDescent="0.3">
      <c r="A1057" t="s">
        <v>45</v>
      </c>
      <c r="B1057" t="s">
        <v>219</v>
      </c>
      <c r="C1057">
        <v>17</v>
      </c>
      <c r="D1057" t="s">
        <v>163</v>
      </c>
      <c r="E1057" t="s">
        <v>2644</v>
      </c>
      <c r="F1057" t="s">
        <v>2645</v>
      </c>
      <c r="G1057" t="s">
        <v>1512</v>
      </c>
      <c r="H1057" t="s">
        <v>219</v>
      </c>
      <c r="I1057">
        <v>181</v>
      </c>
      <c r="J1057">
        <v>36</v>
      </c>
      <c r="K1057">
        <v>6</v>
      </c>
      <c r="L1057" t="s">
        <v>142</v>
      </c>
    </row>
    <row r="1058" spans="1:12" x14ac:dyDescent="0.3">
      <c r="A1058" t="s">
        <v>45</v>
      </c>
      <c r="B1058" t="s">
        <v>219</v>
      </c>
      <c r="C1058">
        <v>18</v>
      </c>
      <c r="D1058" t="s">
        <v>158</v>
      </c>
      <c r="E1058" t="s">
        <v>2646</v>
      </c>
      <c r="F1058" t="s">
        <v>2647</v>
      </c>
      <c r="G1058" t="s">
        <v>479</v>
      </c>
      <c r="H1058" t="s">
        <v>194</v>
      </c>
      <c r="I1058">
        <v>181</v>
      </c>
      <c r="J1058">
        <v>27</v>
      </c>
      <c r="K1058">
        <v>3</v>
      </c>
      <c r="L1058" t="s">
        <v>142</v>
      </c>
    </row>
    <row r="1059" spans="1:12" x14ac:dyDescent="0.3">
      <c r="A1059" t="s">
        <v>45</v>
      </c>
      <c r="B1059" t="s">
        <v>219</v>
      </c>
      <c r="C1059">
        <v>19</v>
      </c>
      <c r="D1059" t="s">
        <v>163</v>
      </c>
      <c r="E1059" t="s">
        <v>2648</v>
      </c>
      <c r="F1059" t="s">
        <v>2649</v>
      </c>
      <c r="G1059" t="s">
        <v>615</v>
      </c>
      <c r="H1059" t="s">
        <v>219</v>
      </c>
      <c r="I1059">
        <v>183</v>
      </c>
      <c r="J1059">
        <v>33</v>
      </c>
      <c r="K1059">
        <v>7</v>
      </c>
      <c r="L1059" t="s">
        <v>142</v>
      </c>
    </row>
    <row r="1060" spans="1:12" x14ac:dyDescent="0.3">
      <c r="A1060" t="s">
        <v>45</v>
      </c>
      <c r="B1060" t="s">
        <v>219</v>
      </c>
      <c r="C1060">
        <v>20</v>
      </c>
      <c r="D1060" t="s">
        <v>158</v>
      </c>
      <c r="E1060" t="s">
        <v>2650</v>
      </c>
      <c r="F1060" t="s">
        <v>2651</v>
      </c>
      <c r="G1060" t="s">
        <v>615</v>
      </c>
      <c r="H1060" t="s">
        <v>219</v>
      </c>
      <c r="I1060">
        <v>174</v>
      </c>
      <c r="J1060">
        <v>49</v>
      </c>
      <c r="K1060">
        <v>6</v>
      </c>
      <c r="L1060" t="s">
        <v>142</v>
      </c>
    </row>
    <row r="1061" spans="1:12" x14ac:dyDescent="0.3">
      <c r="A1061" t="s">
        <v>45</v>
      </c>
      <c r="B1061" t="s">
        <v>219</v>
      </c>
      <c r="C1061">
        <v>21</v>
      </c>
      <c r="D1061" t="s">
        <v>163</v>
      </c>
      <c r="E1061" t="s">
        <v>2652</v>
      </c>
      <c r="F1061" t="s">
        <v>2653</v>
      </c>
      <c r="G1061" t="s">
        <v>1020</v>
      </c>
      <c r="H1061" t="s">
        <v>219</v>
      </c>
      <c r="I1061">
        <v>181</v>
      </c>
      <c r="J1061">
        <v>61</v>
      </c>
      <c r="K1061">
        <v>30</v>
      </c>
      <c r="L1061" t="s">
        <v>142</v>
      </c>
    </row>
    <row r="1062" spans="1:12" x14ac:dyDescent="0.3">
      <c r="A1062" t="s">
        <v>45</v>
      </c>
      <c r="B1062" t="s">
        <v>219</v>
      </c>
      <c r="C1062">
        <v>22</v>
      </c>
      <c r="D1062" t="s">
        <v>143</v>
      </c>
      <c r="E1062" t="s">
        <v>2654</v>
      </c>
      <c r="F1062" t="s">
        <v>2655</v>
      </c>
      <c r="G1062" t="s">
        <v>615</v>
      </c>
      <c r="H1062" t="s">
        <v>219</v>
      </c>
      <c r="I1062">
        <v>183</v>
      </c>
      <c r="J1062">
        <v>20</v>
      </c>
      <c r="K1062">
        <v>0</v>
      </c>
      <c r="L1062" t="s">
        <v>142</v>
      </c>
    </row>
    <row r="1063" spans="1:12" x14ac:dyDescent="0.3">
      <c r="A1063" t="s">
        <v>45</v>
      </c>
      <c r="B1063" t="s">
        <v>219</v>
      </c>
      <c r="C1063">
        <v>23</v>
      </c>
      <c r="D1063" t="s">
        <v>137</v>
      </c>
      <c r="E1063" t="s">
        <v>2656</v>
      </c>
      <c r="F1063" t="s">
        <v>2657</v>
      </c>
      <c r="G1063" t="s">
        <v>1512</v>
      </c>
      <c r="H1063" t="s">
        <v>219</v>
      </c>
      <c r="I1063">
        <v>190</v>
      </c>
      <c r="J1063">
        <v>66</v>
      </c>
      <c r="K1063">
        <v>0</v>
      </c>
      <c r="L1063" t="s">
        <v>142</v>
      </c>
    </row>
    <row r="1064" spans="1:12" x14ac:dyDescent="0.3">
      <c r="A1064" t="s">
        <v>45</v>
      </c>
      <c r="B1064" t="s">
        <v>219</v>
      </c>
      <c r="C1064">
        <v>24</v>
      </c>
      <c r="D1064" t="s">
        <v>143</v>
      </c>
      <c r="E1064" t="s">
        <v>2658</v>
      </c>
      <c r="F1064" t="s">
        <v>2659</v>
      </c>
      <c r="G1064" t="s">
        <v>297</v>
      </c>
      <c r="H1064" t="s">
        <v>194</v>
      </c>
      <c r="I1064">
        <v>173</v>
      </c>
      <c r="J1064">
        <v>32</v>
      </c>
      <c r="K1064">
        <v>1</v>
      </c>
      <c r="L1064" t="s">
        <v>142</v>
      </c>
    </row>
    <row r="1065" spans="1:12" x14ac:dyDescent="0.3">
      <c r="A1065" t="s">
        <v>45</v>
      </c>
      <c r="B1065" t="s">
        <v>219</v>
      </c>
      <c r="C1065">
        <v>25</v>
      </c>
      <c r="D1065" t="s">
        <v>163</v>
      </c>
      <c r="E1065" t="s">
        <v>2660</v>
      </c>
      <c r="F1065" t="s">
        <v>2661</v>
      </c>
      <c r="G1065" t="s">
        <v>1033</v>
      </c>
      <c r="H1065" t="s">
        <v>219</v>
      </c>
      <c r="I1065">
        <v>173</v>
      </c>
      <c r="J1065">
        <v>2</v>
      </c>
      <c r="K1065">
        <v>1</v>
      </c>
      <c r="L1065" t="s">
        <v>142</v>
      </c>
    </row>
    <row r="1066" spans="1:12" x14ac:dyDescent="0.3">
      <c r="A1066" t="s">
        <v>45</v>
      </c>
      <c r="B1066" t="s">
        <v>219</v>
      </c>
      <c r="C1066">
        <v>26</v>
      </c>
      <c r="D1066" t="s">
        <v>163</v>
      </c>
      <c r="E1066" t="s">
        <v>2662</v>
      </c>
      <c r="F1066" t="s">
        <v>2329</v>
      </c>
      <c r="G1066" t="s">
        <v>2663</v>
      </c>
      <c r="H1066" t="s">
        <v>219</v>
      </c>
      <c r="I1066">
        <v>187</v>
      </c>
      <c r="J1066">
        <v>9</v>
      </c>
      <c r="K1066">
        <v>0</v>
      </c>
      <c r="L1066" t="s">
        <v>142</v>
      </c>
    </row>
    <row r="1067" spans="1:12" x14ac:dyDescent="0.3">
      <c r="A1067" t="s">
        <v>43</v>
      </c>
      <c r="B1067" t="s">
        <v>2664</v>
      </c>
      <c r="C1067">
        <v>1</v>
      </c>
      <c r="D1067" t="s">
        <v>137</v>
      </c>
      <c r="E1067" t="s">
        <v>2665</v>
      </c>
      <c r="F1067" t="s">
        <v>2666</v>
      </c>
      <c r="G1067" t="s">
        <v>2171</v>
      </c>
      <c r="H1067" t="s">
        <v>194</v>
      </c>
      <c r="I1067">
        <v>197</v>
      </c>
      <c r="J1067">
        <v>5</v>
      </c>
      <c r="K1067">
        <v>0</v>
      </c>
      <c r="L1067" t="s">
        <v>142</v>
      </c>
    </row>
    <row r="1068" spans="1:12" x14ac:dyDescent="0.3">
      <c r="A1068" t="s">
        <v>43</v>
      </c>
      <c r="B1068" t="s">
        <v>2664</v>
      </c>
      <c r="C1068">
        <v>2</v>
      </c>
      <c r="D1068" t="s">
        <v>143</v>
      </c>
      <c r="E1068" t="s">
        <v>2667</v>
      </c>
      <c r="F1068" t="s">
        <v>1108</v>
      </c>
      <c r="G1068" t="s">
        <v>408</v>
      </c>
      <c r="H1068" t="s">
        <v>281</v>
      </c>
      <c r="I1068">
        <v>193</v>
      </c>
      <c r="J1068">
        <v>15</v>
      </c>
      <c r="K1068">
        <v>2</v>
      </c>
      <c r="L1068" t="s">
        <v>142</v>
      </c>
    </row>
    <row r="1069" spans="1:12" x14ac:dyDescent="0.3">
      <c r="A1069" t="s">
        <v>43</v>
      </c>
      <c r="B1069" t="s">
        <v>2664</v>
      </c>
      <c r="C1069">
        <v>3</v>
      </c>
      <c r="D1069" t="s">
        <v>143</v>
      </c>
      <c r="E1069" t="s">
        <v>2668</v>
      </c>
      <c r="F1069" t="s">
        <v>2669</v>
      </c>
      <c r="G1069" t="s">
        <v>294</v>
      </c>
      <c r="H1069" t="s">
        <v>194</v>
      </c>
      <c r="I1069">
        <v>187</v>
      </c>
      <c r="J1069">
        <v>80</v>
      </c>
      <c r="K1069">
        <v>3</v>
      </c>
      <c r="L1069" t="s">
        <v>142</v>
      </c>
    </row>
    <row r="1070" spans="1:12" x14ac:dyDescent="0.3">
      <c r="A1070" t="s">
        <v>43</v>
      </c>
      <c r="B1070" t="s">
        <v>2664</v>
      </c>
      <c r="C1070">
        <v>4</v>
      </c>
      <c r="D1070" t="s">
        <v>143</v>
      </c>
      <c r="E1070" t="s">
        <v>2670</v>
      </c>
      <c r="F1070" t="s">
        <v>2671</v>
      </c>
      <c r="G1070" t="s">
        <v>495</v>
      </c>
      <c r="H1070" t="s">
        <v>200</v>
      </c>
      <c r="I1070">
        <v>191</v>
      </c>
      <c r="J1070">
        <v>32</v>
      </c>
      <c r="K1070">
        <v>0</v>
      </c>
      <c r="L1070" t="s">
        <v>142</v>
      </c>
    </row>
    <row r="1071" spans="1:12" x14ac:dyDescent="0.3">
      <c r="A1071" t="s">
        <v>43</v>
      </c>
      <c r="B1071" t="s">
        <v>2664</v>
      </c>
      <c r="C1071">
        <v>5</v>
      </c>
      <c r="D1071" t="s">
        <v>143</v>
      </c>
      <c r="E1071" t="s">
        <v>2672</v>
      </c>
      <c r="F1071" t="s">
        <v>1165</v>
      </c>
      <c r="G1071" t="s">
        <v>1744</v>
      </c>
      <c r="H1071" t="s">
        <v>194</v>
      </c>
      <c r="I1071">
        <v>181</v>
      </c>
      <c r="J1071">
        <v>28</v>
      </c>
      <c r="K1071">
        <v>0</v>
      </c>
      <c r="L1071" t="s">
        <v>142</v>
      </c>
    </row>
    <row r="1072" spans="1:12" x14ac:dyDescent="0.3">
      <c r="A1072" t="s">
        <v>43</v>
      </c>
      <c r="B1072" t="s">
        <v>2664</v>
      </c>
      <c r="C1072">
        <v>6</v>
      </c>
      <c r="D1072" t="s">
        <v>143</v>
      </c>
      <c r="E1072" t="s">
        <v>2673</v>
      </c>
      <c r="F1072" t="s">
        <v>2674</v>
      </c>
      <c r="G1072" t="s">
        <v>1066</v>
      </c>
      <c r="H1072" t="s">
        <v>25</v>
      </c>
      <c r="I1072">
        <v>190</v>
      </c>
      <c r="J1072">
        <v>3</v>
      </c>
      <c r="K1072">
        <v>0</v>
      </c>
      <c r="L1072" t="s">
        <v>142</v>
      </c>
    </row>
    <row r="1073" spans="1:12" x14ac:dyDescent="0.3">
      <c r="A1073" t="s">
        <v>43</v>
      </c>
      <c r="B1073" t="s">
        <v>2664</v>
      </c>
      <c r="C1073">
        <v>7</v>
      </c>
      <c r="D1073" t="s">
        <v>158</v>
      </c>
      <c r="E1073" t="s">
        <v>2675</v>
      </c>
      <c r="F1073" t="s">
        <v>2676</v>
      </c>
      <c r="G1073" t="s">
        <v>266</v>
      </c>
      <c r="H1073" t="s">
        <v>194</v>
      </c>
      <c r="I1073">
        <v>187</v>
      </c>
      <c r="J1073">
        <v>14</v>
      </c>
      <c r="K1073">
        <v>0</v>
      </c>
      <c r="L1073" t="s">
        <v>142</v>
      </c>
    </row>
    <row r="1074" spans="1:12" x14ac:dyDescent="0.3">
      <c r="A1074" t="s">
        <v>43</v>
      </c>
      <c r="B1074" t="s">
        <v>2664</v>
      </c>
      <c r="C1074">
        <v>8</v>
      </c>
      <c r="D1074" t="s">
        <v>143</v>
      </c>
      <c r="E1074" t="s">
        <v>2677</v>
      </c>
      <c r="F1074" t="s">
        <v>2678</v>
      </c>
      <c r="G1074" t="s">
        <v>212</v>
      </c>
      <c r="H1074" t="s">
        <v>177</v>
      </c>
      <c r="I1074">
        <v>183</v>
      </c>
      <c r="J1074">
        <v>16</v>
      </c>
      <c r="K1074">
        <v>0</v>
      </c>
      <c r="L1074" t="s">
        <v>142</v>
      </c>
    </row>
    <row r="1075" spans="1:12" x14ac:dyDescent="0.3">
      <c r="A1075" t="s">
        <v>43</v>
      </c>
      <c r="B1075" t="s">
        <v>2664</v>
      </c>
      <c r="C1075">
        <v>9</v>
      </c>
      <c r="D1075" t="s">
        <v>163</v>
      </c>
      <c r="E1075" t="s">
        <v>2679</v>
      </c>
      <c r="F1075" t="s">
        <v>2680</v>
      </c>
      <c r="G1075" t="s">
        <v>284</v>
      </c>
      <c r="H1075" t="s">
        <v>194</v>
      </c>
      <c r="I1075">
        <v>190</v>
      </c>
      <c r="J1075">
        <v>62</v>
      </c>
      <c r="K1075">
        <v>18</v>
      </c>
      <c r="L1075" t="s">
        <v>142</v>
      </c>
    </row>
    <row r="1076" spans="1:12" x14ac:dyDescent="0.3">
      <c r="A1076" t="s">
        <v>43</v>
      </c>
      <c r="B1076" t="s">
        <v>2664</v>
      </c>
      <c r="C1076">
        <v>10</v>
      </c>
      <c r="D1076" t="s">
        <v>158</v>
      </c>
      <c r="E1076" t="s">
        <v>2681</v>
      </c>
      <c r="F1076" t="s">
        <v>2682</v>
      </c>
      <c r="G1076" t="s">
        <v>739</v>
      </c>
      <c r="H1076" t="s">
        <v>347</v>
      </c>
      <c r="I1076">
        <v>187</v>
      </c>
      <c r="J1076">
        <v>15</v>
      </c>
      <c r="K1076">
        <v>3</v>
      </c>
      <c r="L1076" t="s">
        <v>142</v>
      </c>
    </row>
    <row r="1077" spans="1:12" x14ac:dyDescent="0.3">
      <c r="A1077" t="s">
        <v>43</v>
      </c>
      <c r="B1077" t="s">
        <v>2664</v>
      </c>
      <c r="C1077">
        <v>11</v>
      </c>
      <c r="D1077" t="s">
        <v>163</v>
      </c>
      <c r="E1077" t="s">
        <v>2683</v>
      </c>
      <c r="F1077" t="s">
        <v>2684</v>
      </c>
      <c r="G1077" t="s">
        <v>607</v>
      </c>
      <c r="H1077" t="s">
        <v>194</v>
      </c>
      <c r="I1077">
        <v>178</v>
      </c>
      <c r="J1077">
        <v>34</v>
      </c>
      <c r="K1077">
        <v>8</v>
      </c>
      <c r="L1077" t="s">
        <v>142</v>
      </c>
    </row>
    <row r="1078" spans="1:12" x14ac:dyDescent="0.3">
      <c r="A1078" t="s">
        <v>43</v>
      </c>
      <c r="B1078" t="s">
        <v>2664</v>
      </c>
      <c r="C1078">
        <v>12</v>
      </c>
      <c r="D1078" t="s">
        <v>137</v>
      </c>
      <c r="E1078" t="s">
        <v>2685</v>
      </c>
      <c r="F1078" t="s">
        <v>2686</v>
      </c>
      <c r="G1078" t="s">
        <v>1885</v>
      </c>
      <c r="H1078" t="s">
        <v>194</v>
      </c>
      <c r="I1078">
        <v>187</v>
      </c>
      <c r="J1078">
        <v>12</v>
      </c>
      <c r="K1078">
        <v>0</v>
      </c>
      <c r="L1078" t="s">
        <v>142</v>
      </c>
    </row>
    <row r="1079" spans="1:12" x14ac:dyDescent="0.3">
      <c r="A1079" t="s">
        <v>43</v>
      </c>
      <c r="B1079" t="s">
        <v>2664</v>
      </c>
      <c r="C1079">
        <v>13</v>
      </c>
      <c r="D1079" t="s">
        <v>158</v>
      </c>
      <c r="E1079" t="s">
        <v>2687</v>
      </c>
      <c r="F1079" t="s">
        <v>2688</v>
      </c>
      <c r="G1079" t="s">
        <v>555</v>
      </c>
      <c r="H1079" t="s">
        <v>308</v>
      </c>
      <c r="I1079">
        <v>180</v>
      </c>
      <c r="J1079">
        <v>33</v>
      </c>
      <c r="K1079">
        <v>5</v>
      </c>
      <c r="L1079" t="s">
        <v>142</v>
      </c>
    </row>
    <row r="1080" spans="1:12" x14ac:dyDescent="0.3">
      <c r="A1080" t="s">
        <v>43</v>
      </c>
      <c r="B1080" t="s">
        <v>2664</v>
      </c>
      <c r="C1080">
        <v>14</v>
      </c>
      <c r="D1080" t="s">
        <v>143</v>
      </c>
      <c r="E1080" t="s">
        <v>2689</v>
      </c>
      <c r="F1080" t="s">
        <v>2690</v>
      </c>
      <c r="G1080" t="s">
        <v>882</v>
      </c>
      <c r="H1080" t="s">
        <v>194</v>
      </c>
      <c r="I1080">
        <v>187</v>
      </c>
      <c r="J1080">
        <v>13</v>
      </c>
      <c r="K1080">
        <v>0</v>
      </c>
      <c r="L1080" t="s">
        <v>142</v>
      </c>
    </row>
    <row r="1081" spans="1:12" x14ac:dyDescent="0.3">
      <c r="A1081" t="s">
        <v>43</v>
      </c>
      <c r="B1081" t="s">
        <v>2664</v>
      </c>
      <c r="C1081">
        <v>15</v>
      </c>
      <c r="D1081" t="s">
        <v>143</v>
      </c>
      <c r="E1081" t="s">
        <v>2691</v>
      </c>
      <c r="F1081" t="s">
        <v>2692</v>
      </c>
      <c r="G1081" t="s">
        <v>2663</v>
      </c>
      <c r="H1081" t="s">
        <v>219</v>
      </c>
      <c r="I1081">
        <v>185</v>
      </c>
      <c r="J1081">
        <v>19</v>
      </c>
      <c r="K1081">
        <v>0</v>
      </c>
      <c r="L1081" t="s">
        <v>142</v>
      </c>
    </row>
    <row r="1082" spans="1:12" x14ac:dyDescent="0.3">
      <c r="A1082" t="s">
        <v>43</v>
      </c>
      <c r="B1082" t="s">
        <v>2664</v>
      </c>
      <c r="C1082">
        <v>16</v>
      </c>
      <c r="D1082" t="s">
        <v>158</v>
      </c>
      <c r="E1082" t="s">
        <v>2693</v>
      </c>
      <c r="F1082" t="s">
        <v>2694</v>
      </c>
      <c r="G1082" t="s">
        <v>2695</v>
      </c>
      <c r="H1082" t="s">
        <v>200</v>
      </c>
      <c r="I1082">
        <v>182</v>
      </c>
      <c r="J1082">
        <v>26</v>
      </c>
      <c r="K1082">
        <v>0</v>
      </c>
      <c r="L1082" t="s">
        <v>142</v>
      </c>
    </row>
    <row r="1083" spans="1:12" x14ac:dyDescent="0.3">
      <c r="A1083" t="s">
        <v>43</v>
      </c>
      <c r="B1083" t="s">
        <v>2664</v>
      </c>
      <c r="C1083">
        <v>17</v>
      </c>
      <c r="D1083" t="s">
        <v>163</v>
      </c>
      <c r="E1083" t="s">
        <v>2696</v>
      </c>
      <c r="F1083" t="s">
        <v>2697</v>
      </c>
      <c r="G1083" t="s">
        <v>479</v>
      </c>
      <c r="H1083" t="s">
        <v>194</v>
      </c>
      <c r="I1083">
        <v>189</v>
      </c>
      <c r="J1083">
        <v>37</v>
      </c>
      <c r="K1083">
        <v>21</v>
      </c>
      <c r="L1083" t="s">
        <v>142</v>
      </c>
    </row>
    <row r="1084" spans="1:12" x14ac:dyDescent="0.3">
      <c r="A1084" t="s">
        <v>43</v>
      </c>
      <c r="B1084" t="s">
        <v>2664</v>
      </c>
      <c r="C1084">
        <v>18</v>
      </c>
      <c r="D1084" t="s">
        <v>158</v>
      </c>
      <c r="E1084" t="s">
        <v>2698</v>
      </c>
      <c r="F1084" t="s">
        <v>2699</v>
      </c>
      <c r="G1084" t="s">
        <v>466</v>
      </c>
      <c r="H1084" t="s">
        <v>194</v>
      </c>
      <c r="I1084">
        <v>172</v>
      </c>
      <c r="J1084">
        <v>25</v>
      </c>
      <c r="K1084">
        <v>5</v>
      </c>
      <c r="L1084" t="s">
        <v>142</v>
      </c>
    </row>
    <row r="1085" spans="1:12" x14ac:dyDescent="0.3">
      <c r="A1085" t="s">
        <v>43</v>
      </c>
      <c r="B1085" t="s">
        <v>2664</v>
      </c>
      <c r="C1085">
        <v>19</v>
      </c>
      <c r="D1085" t="s">
        <v>158</v>
      </c>
      <c r="E1085" t="s">
        <v>2700</v>
      </c>
      <c r="F1085" t="s">
        <v>2701</v>
      </c>
      <c r="G1085" t="s">
        <v>203</v>
      </c>
      <c r="H1085" t="s">
        <v>177</v>
      </c>
      <c r="I1085">
        <v>186</v>
      </c>
      <c r="J1085">
        <v>42</v>
      </c>
      <c r="K1085">
        <v>3</v>
      </c>
      <c r="L1085" t="s">
        <v>142</v>
      </c>
    </row>
    <row r="1086" spans="1:12" x14ac:dyDescent="0.3">
      <c r="A1086" t="s">
        <v>43</v>
      </c>
      <c r="B1086" t="s">
        <v>2664</v>
      </c>
      <c r="C1086">
        <v>20</v>
      </c>
      <c r="D1086" t="s">
        <v>143</v>
      </c>
      <c r="E1086" t="s">
        <v>2702</v>
      </c>
      <c r="F1086" t="s">
        <v>1160</v>
      </c>
      <c r="G1086" t="s">
        <v>327</v>
      </c>
      <c r="H1086" t="s">
        <v>177</v>
      </c>
      <c r="I1086">
        <v>192</v>
      </c>
      <c r="J1086">
        <v>2</v>
      </c>
      <c r="K1086">
        <v>0</v>
      </c>
      <c r="L1086" t="s">
        <v>142</v>
      </c>
    </row>
    <row r="1087" spans="1:12" x14ac:dyDescent="0.3">
      <c r="A1087" t="s">
        <v>43</v>
      </c>
      <c r="B1087" t="s">
        <v>2664</v>
      </c>
      <c r="C1087">
        <v>21</v>
      </c>
      <c r="D1087" t="s">
        <v>143</v>
      </c>
      <c r="E1087" t="s">
        <v>2703</v>
      </c>
      <c r="F1087" t="s">
        <v>2704</v>
      </c>
      <c r="G1087" t="s">
        <v>2705</v>
      </c>
      <c r="H1087" t="s">
        <v>177</v>
      </c>
      <c r="I1087">
        <v>184</v>
      </c>
      <c r="J1087">
        <v>14</v>
      </c>
      <c r="K1087">
        <v>0</v>
      </c>
      <c r="L1087" t="s">
        <v>142</v>
      </c>
    </row>
    <row r="1088" spans="1:12" x14ac:dyDescent="0.3">
      <c r="A1088" t="s">
        <v>43</v>
      </c>
      <c r="B1088" t="s">
        <v>2664</v>
      </c>
      <c r="C1088">
        <v>22</v>
      </c>
      <c r="D1088" t="s">
        <v>158</v>
      </c>
      <c r="E1088" t="s">
        <v>2706</v>
      </c>
      <c r="F1088" t="s">
        <v>2707</v>
      </c>
      <c r="G1088" t="s">
        <v>793</v>
      </c>
      <c r="H1088" t="s">
        <v>223</v>
      </c>
      <c r="I1088">
        <v>187</v>
      </c>
      <c r="J1088">
        <v>10</v>
      </c>
      <c r="K1088">
        <v>0</v>
      </c>
      <c r="L1088" t="s">
        <v>142</v>
      </c>
    </row>
    <row r="1089" spans="1:12" x14ac:dyDescent="0.3">
      <c r="A1089" t="s">
        <v>43</v>
      </c>
      <c r="B1089" t="s">
        <v>2664</v>
      </c>
      <c r="C1089">
        <v>23</v>
      </c>
      <c r="D1089" t="s">
        <v>137</v>
      </c>
      <c r="E1089" t="s">
        <v>2708</v>
      </c>
      <c r="F1089" t="s">
        <v>2709</v>
      </c>
      <c r="G1089" t="s">
        <v>2710</v>
      </c>
      <c r="H1089" t="s">
        <v>2664</v>
      </c>
      <c r="I1089">
        <v>190</v>
      </c>
      <c r="J1089">
        <v>23</v>
      </c>
      <c r="K1089">
        <v>0</v>
      </c>
      <c r="L1089" t="s">
        <v>142</v>
      </c>
    </row>
    <row r="1090" spans="1:12" x14ac:dyDescent="0.3">
      <c r="A1090" t="s">
        <v>43</v>
      </c>
      <c r="B1090" t="s">
        <v>2664</v>
      </c>
      <c r="C1090">
        <v>24</v>
      </c>
      <c r="D1090" t="s">
        <v>143</v>
      </c>
      <c r="E1090" t="s">
        <v>2711</v>
      </c>
      <c r="F1090" t="s">
        <v>2712</v>
      </c>
      <c r="G1090" t="s">
        <v>2713</v>
      </c>
      <c r="H1090" t="s">
        <v>2664</v>
      </c>
      <c r="I1090">
        <v>185</v>
      </c>
      <c r="J1090">
        <v>5</v>
      </c>
      <c r="K1090">
        <v>0</v>
      </c>
      <c r="L1090" t="s">
        <v>142</v>
      </c>
    </row>
    <row r="1091" spans="1:12" x14ac:dyDescent="0.3">
      <c r="A1091" t="s">
        <v>43</v>
      </c>
      <c r="B1091" t="s">
        <v>2664</v>
      </c>
      <c r="C1091">
        <v>25</v>
      </c>
      <c r="D1091" t="s">
        <v>163</v>
      </c>
      <c r="E1091" t="s">
        <v>2714</v>
      </c>
      <c r="F1091" t="s">
        <v>2715</v>
      </c>
      <c r="G1091" t="s">
        <v>463</v>
      </c>
      <c r="H1091" t="s">
        <v>223</v>
      </c>
      <c r="I1091">
        <v>197</v>
      </c>
      <c r="J1091">
        <v>10</v>
      </c>
      <c r="K1091">
        <v>4</v>
      </c>
      <c r="L1091" t="s">
        <v>142</v>
      </c>
    </row>
    <row r="1092" spans="1:12" x14ac:dyDescent="0.3">
      <c r="A1092" t="s">
        <v>43</v>
      </c>
      <c r="B1092" t="s">
        <v>2664</v>
      </c>
      <c r="C1092">
        <v>26</v>
      </c>
      <c r="D1092" t="s">
        <v>163</v>
      </c>
      <c r="E1092" t="s">
        <v>2716</v>
      </c>
      <c r="F1092" t="s">
        <v>2717</v>
      </c>
      <c r="G1092" t="s">
        <v>2718</v>
      </c>
      <c r="H1092" t="s">
        <v>2664</v>
      </c>
      <c r="I1092">
        <v>174</v>
      </c>
      <c r="J1092">
        <v>4</v>
      </c>
      <c r="K1092">
        <v>0</v>
      </c>
      <c r="L1092" t="s">
        <v>142</v>
      </c>
    </row>
    <row r="1093" spans="1:12" x14ac:dyDescent="0.3">
      <c r="A1093" t="s">
        <v>28</v>
      </c>
      <c r="B1093" t="s">
        <v>141</v>
      </c>
      <c r="C1093">
        <v>1</v>
      </c>
      <c r="D1093" t="s">
        <v>137</v>
      </c>
      <c r="E1093" t="s">
        <v>2719</v>
      </c>
      <c r="F1093" t="s">
        <v>2720</v>
      </c>
      <c r="G1093" t="s">
        <v>212</v>
      </c>
      <c r="H1093" t="s">
        <v>177</v>
      </c>
      <c r="I1093">
        <v>196</v>
      </c>
      <c r="J1093">
        <v>27</v>
      </c>
      <c r="K1093">
        <v>0</v>
      </c>
      <c r="L1093" t="s">
        <v>142</v>
      </c>
    </row>
    <row r="1094" spans="1:12" x14ac:dyDescent="0.3">
      <c r="A1094" t="s">
        <v>28</v>
      </c>
      <c r="B1094" t="s">
        <v>141</v>
      </c>
      <c r="C1094">
        <v>2</v>
      </c>
      <c r="D1094" t="s">
        <v>143</v>
      </c>
      <c r="E1094" t="s">
        <v>2721</v>
      </c>
      <c r="F1094" t="s">
        <v>2722</v>
      </c>
      <c r="G1094" t="s">
        <v>1055</v>
      </c>
      <c r="H1094" t="s">
        <v>177</v>
      </c>
      <c r="I1094">
        <v>182</v>
      </c>
      <c r="J1094">
        <v>13</v>
      </c>
      <c r="K1094">
        <v>0</v>
      </c>
      <c r="L1094" t="s">
        <v>142</v>
      </c>
    </row>
    <row r="1095" spans="1:12" x14ac:dyDescent="0.3">
      <c r="A1095" t="s">
        <v>28</v>
      </c>
      <c r="B1095" t="s">
        <v>141</v>
      </c>
      <c r="C1095">
        <v>3</v>
      </c>
      <c r="D1095" t="s">
        <v>143</v>
      </c>
      <c r="E1095" t="s">
        <v>2723</v>
      </c>
      <c r="F1095" t="s">
        <v>2724</v>
      </c>
      <c r="G1095" t="s">
        <v>394</v>
      </c>
      <c r="H1095" t="s">
        <v>177</v>
      </c>
      <c r="I1095">
        <v>183</v>
      </c>
      <c r="J1095">
        <v>65</v>
      </c>
      <c r="K1095">
        <v>5</v>
      </c>
      <c r="L1095" t="s">
        <v>142</v>
      </c>
    </row>
    <row r="1096" spans="1:12" x14ac:dyDescent="0.3">
      <c r="A1096" t="s">
        <v>28</v>
      </c>
      <c r="B1096" t="s">
        <v>141</v>
      </c>
      <c r="C1096">
        <v>4</v>
      </c>
      <c r="D1096" t="s">
        <v>143</v>
      </c>
      <c r="E1096" t="s">
        <v>2725</v>
      </c>
      <c r="F1096" t="s">
        <v>1455</v>
      </c>
      <c r="G1096" t="s">
        <v>578</v>
      </c>
      <c r="H1096" t="s">
        <v>177</v>
      </c>
      <c r="I1096">
        <v>189</v>
      </c>
      <c r="J1096">
        <v>73</v>
      </c>
      <c r="K1096">
        <v>3</v>
      </c>
      <c r="L1096" t="s">
        <v>142</v>
      </c>
    </row>
    <row r="1097" spans="1:12" x14ac:dyDescent="0.3">
      <c r="A1097" t="s">
        <v>28</v>
      </c>
      <c r="B1097" t="s">
        <v>141</v>
      </c>
      <c r="C1097">
        <v>5</v>
      </c>
      <c r="D1097" t="s">
        <v>143</v>
      </c>
      <c r="E1097" t="s">
        <v>2726</v>
      </c>
      <c r="F1097" t="s">
        <v>2727</v>
      </c>
      <c r="G1097" t="s">
        <v>291</v>
      </c>
      <c r="H1097" t="s">
        <v>200</v>
      </c>
      <c r="I1097">
        <v>188</v>
      </c>
      <c r="J1097">
        <v>87</v>
      </c>
      <c r="K1097">
        <v>4</v>
      </c>
      <c r="L1097" t="s">
        <v>142</v>
      </c>
    </row>
    <row r="1098" spans="1:12" x14ac:dyDescent="0.3">
      <c r="A1098" t="s">
        <v>28</v>
      </c>
      <c r="B1098" t="s">
        <v>141</v>
      </c>
      <c r="C1098">
        <v>6</v>
      </c>
      <c r="D1098" t="s">
        <v>158</v>
      </c>
      <c r="E1098" t="s">
        <v>2728</v>
      </c>
      <c r="F1098" t="s">
        <v>2729</v>
      </c>
      <c r="G1098" t="s">
        <v>971</v>
      </c>
      <c r="H1098" t="s">
        <v>147</v>
      </c>
      <c r="I1098">
        <v>189</v>
      </c>
      <c r="J1098">
        <v>69</v>
      </c>
      <c r="K1098">
        <v>3</v>
      </c>
      <c r="L1098" t="s">
        <v>142</v>
      </c>
    </row>
    <row r="1099" spans="1:12" x14ac:dyDescent="0.3">
      <c r="A1099" t="s">
        <v>28</v>
      </c>
      <c r="B1099" t="s">
        <v>141</v>
      </c>
      <c r="C1099">
        <v>7</v>
      </c>
      <c r="D1099" t="s">
        <v>163</v>
      </c>
      <c r="E1099" t="s">
        <v>2730</v>
      </c>
      <c r="F1099" t="s">
        <v>2731</v>
      </c>
      <c r="G1099" t="s">
        <v>1366</v>
      </c>
      <c r="H1099" t="s">
        <v>147</v>
      </c>
      <c r="I1099">
        <v>184</v>
      </c>
      <c r="J1099">
        <v>92</v>
      </c>
      <c r="K1099">
        <v>26</v>
      </c>
      <c r="L1099" t="s">
        <v>142</v>
      </c>
    </row>
    <row r="1100" spans="1:12" x14ac:dyDescent="0.3">
      <c r="A1100" t="s">
        <v>28</v>
      </c>
      <c r="B1100" t="s">
        <v>141</v>
      </c>
      <c r="C1100">
        <v>8</v>
      </c>
      <c r="D1100" t="s">
        <v>158</v>
      </c>
      <c r="E1100" t="s">
        <v>2732</v>
      </c>
      <c r="F1100" t="s">
        <v>2733</v>
      </c>
      <c r="G1100" t="s">
        <v>809</v>
      </c>
      <c r="H1100" t="s">
        <v>200</v>
      </c>
      <c r="I1100">
        <v>181</v>
      </c>
      <c r="J1100">
        <v>94</v>
      </c>
      <c r="K1100">
        <v>11</v>
      </c>
      <c r="L1100" t="s">
        <v>142</v>
      </c>
    </row>
    <row r="1101" spans="1:12" x14ac:dyDescent="0.3">
      <c r="A1101" t="s">
        <v>28</v>
      </c>
      <c r="B1101" t="s">
        <v>141</v>
      </c>
      <c r="C1101">
        <v>9</v>
      </c>
      <c r="D1101" t="s">
        <v>158</v>
      </c>
      <c r="E1101" t="s">
        <v>2734</v>
      </c>
      <c r="F1101" t="s">
        <v>2735</v>
      </c>
      <c r="G1101" t="s">
        <v>424</v>
      </c>
      <c r="H1101" t="s">
        <v>177</v>
      </c>
      <c r="I1101">
        <v>182</v>
      </c>
      <c r="J1101">
        <v>16</v>
      </c>
      <c r="K1101">
        <v>6</v>
      </c>
      <c r="L1101" t="s">
        <v>142</v>
      </c>
    </row>
    <row r="1102" spans="1:12" x14ac:dyDescent="0.3">
      <c r="A1102" t="s">
        <v>28</v>
      </c>
      <c r="B1102" t="s">
        <v>141</v>
      </c>
      <c r="C1102">
        <v>10</v>
      </c>
      <c r="D1102" t="s">
        <v>158</v>
      </c>
      <c r="E1102" t="s">
        <v>2736</v>
      </c>
      <c r="F1102" t="s">
        <v>2737</v>
      </c>
      <c r="G1102" t="s">
        <v>910</v>
      </c>
      <c r="H1102" t="s">
        <v>194</v>
      </c>
      <c r="I1102">
        <v>183</v>
      </c>
      <c r="J1102">
        <v>152</v>
      </c>
      <c r="K1102">
        <v>18</v>
      </c>
      <c r="L1102" t="s">
        <v>142</v>
      </c>
    </row>
    <row r="1103" spans="1:12" x14ac:dyDescent="0.3">
      <c r="A1103" t="s">
        <v>28</v>
      </c>
      <c r="B1103" t="s">
        <v>141</v>
      </c>
      <c r="C1103">
        <v>11</v>
      </c>
      <c r="D1103" t="s">
        <v>163</v>
      </c>
      <c r="E1103" t="s">
        <v>2738</v>
      </c>
      <c r="F1103" t="s">
        <v>2739</v>
      </c>
      <c r="G1103" t="s">
        <v>988</v>
      </c>
      <c r="H1103" t="s">
        <v>194</v>
      </c>
      <c r="I1103">
        <v>184</v>
      </c>
      <c r="J1103">
        <v>37</v>
      </c>
      <c r="K1103">
        <v>10</v>
      </c>
      <c r="L1103" t="s">
        <v>142</v>
      </c>
    </row>
    <row r="1104" spans="1:12" x14ac:dyDescent="0.3">
      <c r="A1104" t="s">
        <v>28</v>
      </c>
      <c r="B1104" t="s">
        <v>141</v>
      </c>
      <c r="C1104">
        <v>12</v>
      </c>
      <c r="D1104" t="s">
        <v>137</v>
      </c>
      <c r="E1104" t="s">
        <v>2740</v>
      </c>
      <c r="F1104" t="s">
        <v>2741</v>
      </c>
      <c r="G1104" t="s">
        <v>2532</v>
      </c>
      <c r="H1104" t="s">
        <v>147</v>
      </c>
      <c r="I1104">
        <v>190</v>
      </c>
      <c r="J1104">
        <v>13</v>
      </c>
      <c r="K1104">
        <v>0</v>
      </c>
      <c r="L1104" t="s">
        <v>142</v>
      </c>
    </row>
    <row r="1105" spans="1:12" x14ac:dyDescent="0.3">
      <c r="A1105" t="s">
        <v>28</v>
      </c>
      <c r="B1105" t="s">
        <v>141</v>
      </c>
      <c r="C1105">
        <v>13</v>
      </c>
      <c r="D1105" t="s">
        <v>143</v>
      </c>
      <c r="E1105" t="s">
        <v>2742</v>
      </c>
      <c r="F1105" t="s">
        <v>2743</v>
      </c>
      <c r="G1105" t="s">
        <v>261</v>
      </c>
      <c r="H1105" t="s">
        <v>219</v>
      </c>
      <c r="I1105">
        <v>182</v>
      </c>
      <c r="J1105">
        <v>144</v>
      </c>
      <c r="K1105">
        <v>9</v>
      </c>
      <c r="L1105" t="s">
        <v>142</v>
      </c>
    </row>
    <row r="1106" spans="1:12" x14ac:dyDescent="0.3">
      <c r="A1106" t="s">
        <v>28</v>
      </c>
      <c r="B1106" t="s">
        <v>141</v>
      </c>
      <c r="C1106">
        <v>14</v>
      </c>
      <c r="D1106" t="s">
        <v>158</v>
      </c>
      <c r="E1106" t="s">
        <v>2744</v>
      </c>
      <c r="F1106" t="s">
        <v>2745</v>
      </c>
      <c r="G1106" t="s">
        <v>492</v>
      </c>
      <c r="H1106" t="s">
        <v>200</v>
      </c>
      <c r="I1106">
        <v>181</v>
      </c>
      <c r="J1106">
        <v>11</v>
      </c>
      <c r="K1106">
        <v>0</v>
      </c>
      <c r="L1106" t="s">
        <v>142</v>
      </c>
    </row>
    <row r="1107" spans="1:12" x14ac:dyDescent="0.3">
      <c r="A1107" t="s">
        <v>28</v>
      </c>
      <c r="B1107" t="s">
        <v>141</v>
      </c>
      <c r="C1107">
        <v>15</v>
      </c>
      <c r="D1107" t="s">
        <v>158</v>
      </c>
      <c r="E1107" t="s">
        <v>2746</v>
      </c>
      <c r="F1107" t="s">
        <v>2193</v>
      </c>
      <c r="G1107" t="s">
        <v>2125</v>
      </c>
      <c r="H1107" t="s">
        <v>219</v>
      </c>
      <c r="I1107">
        <v>183</v>
      </c>
      <c r="J1107">
        <v>56</v>
      </c>
      <c r="K1107">
        <v>0</v>
      </c>
      <c r="L1107" t="s">
        <v>142</v>
      </c>
    </row>
    <row r="1108" spans="1:12" x14ac:dyDescent="0.3">
      <c r="A1108" t="s">
        <v>28</v>
      </c>
      <c r="B1108" t="s">
        <v>141</v>
      </c>
      <c r="C1108">
        <v>16</v>
      </c>
      <c r="D1108" t="s">
        <v>163</v>
      </c>
      <c r="E1108" t="s">
        <v>2747</v>
      </c>
      <c r="F1108" t="s">
        <v>2748</v>
      </c>
      <c r="G1108" t="s">
        <v>187</v>
      </c>
      <c r="H1108" t="s">
        <v>141</v>
      </c>
      <c r="I1108">
        <v>185</v>
      </c>
      <c r="J1108">
        <v>24</v>
      </c>
      <c r="K1108">
        <v>5</v>
      </c>
      <c r="L1108" t="s">
        <v>142</v>
      </c>
    </row>
    <row r="1109" spans="1:12" x14ac:dyDescent="0.3">
      <c r="A1109" t="s">
        <v>28</v>
      </c>
      <c r="B1109" t="s">
        <v>141</v>
      </c>
      <c r="C1109">
        <v>17</v>
      </c>
      <c r="D1109" t="s">
        <v>163</v>
      </c>
      <c r="E1109" t="s">
        <v>2749</v>
      </c>
      <c r="F1109" t="s">
        <v>2750</v>
      </c>
      <c r="G1109" t="s">
        <v>2125</v>
      </c>
      <c r="H1109" t="s">
        <v>219</v>
      </c>
      <c r="I1109">
        <v>179</v>
      </c>
      <c r="J1109">
        <v>67</v>
      </c>
      <c r="K1109">
        <v>13</v>
      </c>
      <c r="L1109" t="s">
        <v>142</v>
      </c>
    </row>
    <row r="1110" spans="1:12" x14ac:dyDescent="0.3">
      <c r="A1110" t="s">
        <v>28</v>
      </c>
      <c r="B1110" t="s">
        <v>141</v>
      </c>
      <c r="C1110">
        <v>18</v>
      </c>
      <c r="D1110" t="s">
        <v>143</v>
      </c>
      <c r="E1110" t="s">
        <v>2751</v>
      </c>
      <c r="F1110" t="s">
        <v>2752</v>
      </c>
      <c r="G1110" t="s">
        <v>2753</v>
      </c>
      <c r="H1110" t="s">
        <v>219</v>
      </c>
      <c r="I1110">
        <v>183</v>
      </c>
      <c r="J1110">
        <v>23</v>
      </c>
      <c r="K1110">
        <v>0</v>
      </c>
      <c r="L1110" t="s">
        <v>142</v>
      </c>
    </row>
    <row r="1111" spans="1:12" x14ac:dyDescent="0.3">
      <c r="A1111" t="s">
        <v>28</v>
      </c>
      <c r="B1111" t="s">
        <v>141</v>
      </c>
      <c r="C1111">
        <v>19</v>
      </c>
      <c r="D1111" t="s">
        <v>163</v>
      </c>
      <c r="E1111" t="s">
        <v>2754</v>
      </c>
      <c r="F1111" t="s">
        <v>854</v>
      </c>
      <c r="G1111" t="s">
        <v>1744</v>
      </c>
      <c r="H1111" t="s">
        <v>194</v>
      </c>
      <c r="I1111">
        <v>185</v>
      </c>
      <c r="J1111">
        <v>26</v>
      </c>
      <c r="K1111">
        <v>2</v>
      </c>
      <c r="L1111" t="s">
        <v>142</v>
      </c>
    </row>
    <row r="1112" spans="1:12" x14ac:dyDescent="0.3">
      <c r="A1112" t="s">
        <v>28</v>
      </c>
      <c r="B1112" t="s">
        <v>141</v>
      </c>
      <c r="C1112">
        <v>20</v>
      </c>
      <c r="D1112" t="s">
        <v>158</v>
      </c>
      <c r="E1112" t="s">
        <v>2755</v>
      </c>
      <c r="F1112" t="s">
        <v>2756</v>
      </c>
      <c r="G1112" t="s">
        <v>2757</v>
      </c>
      <c r="H1112" t="s">
        <v>200</v>
      </c>
      <c r="I1112">
        <v>183</v>
      </c>
      <c r="J1112">
        <v>44</v>
      </c>
      <c r="K1112">
        <v>2</v>
      </c>
      <c r="L1112" t="s">
        <v>142</v>
      </c>
    </row>
    <row r="1113" spans="1:12" x14ac:dyDescent="0.3">
      <c r="A1113" t="s">
        <v>28</v>
      </c>
      <c r="B1113" t="s">
        <v>141</v>
      </c>
      <c r="C1113">
        <v>21</v>
      </c>
      <c r="D1113" t="s">
        <v>137</v>
      </c>
      <c r="E1113" t="s">
        <v>2758</v>
      </c>
      <c r="F1113" t="s">
        <v>1799</v>
      </c>
      <c r="G1113" t="s">
        <v>187</v>
      </c>
      <c r="H1113" t="s">
        <v>141</v>
      </c>
      <c r="I1113">
        <v>189</v>
      </c>
      <c r="J1113">
        <v>1</v>
      </c>
      <c r="K1113">
        <v>0</v>
      </c>
      <c r="L1113" t="s">
        <v>142</v>
      </c>
    </row>
    <row r="1114" spans="1:12" x14ac:dyDescent="0.3">
      <c r="A1114" t="s">
        <v>28</v>
      </c>
      <c r="B1114" t="s">
        <v>141</v>
      </c>
      <c r="C1114">
        <v>22</v>
      </c>
      <c r="D1114" t="s">
        <v>158</v>
      </c>
      <c r="E1114" t="s">
        <v>2759</v>
      </c>
      <c r="F1114" t="s">
        <v>2760</v>
      </c>
      <c r="G1114" t="s">
        <v>411</v>
      </c>
      <c r="H1114" t="s">
        <v>177</v>
      </c>
      <c r="I1114">
        <v>181</v>
      </c>
      <c r="J1114">
        <v>33</v>
      </c>
      <c r="K1114">
        <v>1</v>
      </c>
      <c r="L1114" t="s">
        <v>142</v>
      </c>
    </row>
    <row r="1115" spans="1:12" x14ac:dyDescent="0.3">
      <c r="A1115" t="s">
        <v>28</v>
      </c>
      <c r="B1115" t="s">
        <v>141</v>
      </c>
      <c r="C1115">
        <v>23</v>
      </c>
      <c r="D1115" t="s">
        <v>163</v>
      </c>
      <c r="E1115" t="s">
        <v>2761</v>
      </c>
      <c r="F1115" t="s">
        <v>2762</v>
      </c>
      <c r="G1115" t="s">
        <v>882</v>
      </c>
      <c r="H1115" t="s">
        <v>194</v>
      </c>
      <c r="I1115">
        <v>183</v>
      </c>
      <c r="J1115">
        <v>33</v>
      </c>
      <c r="K1115">
        <v>11</v>
      </c>
      <c r="L1115" t="s">
        <v>142</v>
      </c>
    </row>
    <row r="1116" spans="1:12" x14ac:dyDescent="0.3">
      <c r="A1116" t="s">
        <v>28</v>
      </c>
      <c r="B1116" t="s">
        <v>141</v>
      </c>
      <c r="C1116">
        <v>24</v>
      </c>
      <c r="D1116" t="s">
        <v>143</v>
      </c>
      <c r="E1116" t="s">
        <v>2763</v>
      </c>
      <c r="F1116" t="s">
        <v>2764</v>
      </c>
      <c r="G1116" t="s">
        <v>176</v>
      </c>
      <c r="H1116" t="s">
        <v>177</v>
      </c>
      <c r="I1116">
        <v>194</v>
      </c>
      <c r="J1116">
        <v>7</v>
      </c>
      <c r="K1116">
        <v>0</v>
      </c>
      <c r="L1116" t="s">
        <v>142</v>
      </c>
    </row>
    <row r="1117" spans="1:12" x14ac:dyDescent="0.3">
      <c r="A1117" t="s">
        <v>28</v>
      </c>
      <c r="B1117" t="s">
        <v>141</v>
      </c>
      <c r="C1117">
        <v>25</v>
      </c>
      <c r="D1117" t="s">
        <v>143</v>
      </c>
      <c r="E1117" t="s">
        <v>2765</v>
      </c>
      <c r="F1117" t="s">
        <v>2766</v>
      </c>
      <c r="G1117" t="s">
        <v>543</v>
      </c>
      <c r="H1117" t="s">
        <v>177</v>
      </c>
      <c r="I1117">
        <v>187</v>
      </c>
      <c r="J1117">
        <v>5</v>
      </c>
      <c r="K1117">
        <v>0</v>
      </c>
      <c r="L1117" t="s">
        <v>142</v>
      </c>
    </row>
    <row r="1118" spans="1:12" x14ac:dyDescent="0.3">
      <c r="A1118" t="s">
        <v>28</v>
      </c>
      <c r="B1118" t="s">
        <v>141</v>
      </c>
      <c r="C1118">
        <v>26</v>
      </c>
      <c r="D1118" t="s">
        <v>163</v>
      </c>
      <c r="E1118" t="s">
        <v>2767</v>
      </c>
      <c r="F1118" t="s">
        <v>2768</v>
      </c>
      <c r="G1118" t="s">
        <v>2769</v>
      </c>
      <c r="H1118" t="s">
        <v>177</v>
      </c>
      <c r="I1118">
        <v>190</v>
      </c>
      <c r="J1118">
        <v>18</v>
      </c>
      <c r="K1118">
        <v>5</v>
      </c>
      <c r="L1118" t="s">
        <v>142</v>
      </c>
    </row>
    <row r="1119" spans="1:12" x14ac:dyDescent="0.3">
      <c r="A1119" t="s">
        <v>44</v>
      </c>
      <c r="B1119" t="s">
        <v>154</v>
      </c>
      <c r="C1119">
        <v>1</v>
      </c>
      <c r="D1119" t="s">
        <v>137</v>
      </c>
      <c r="E1119" t="s">
        <v>2770</v>
      </c>
      <c r="F1119" t="s">
        <v>1876</v>
      </c>
      <c r="G1119" t="s">
        <v>2771</v>
      </c>
      <c r="H1119" t="s">
        <v>154</v>
      </c>
      <c r="I1119">
        <v>189</v>
      </c>
      <c r="J1119">
        <v>4</v>
      </c>
      <c r="K1119">
        <v>0</v>
      </c>
      <c r="L1119" t="s">
        <v>142</v>
      </c>
    </row>
    <row r="1120" spans="1:12" x14ac:dyDescent="0.3">
      <c r="A1120" t="s">
        <v>44</v>
      </c>
      <c r="B1120" t="s">
        <v>154</v>
      </c>
      <c r="C1120">
        <v>2</v>
      </c>
      <c r="D1120" t="s">
        <v>143</v>
      </c>
      <c r="E1120" t="s">
        <v>2772</v>
      </c>
      <c r="F1120" t="s">
        <v>2373</v>
      </c>
      <c r="G1120" t="s">
        <v>190</v>
      </c>
      <c r="H1120" t="s">
        <v>147</v>
      </c>
      <c r="I1120">
        <v>177</v>
      </c>
      <c r="J1120">
        <v>49</v>
      </c>
      <c r="K1120">
        <v>7</v>
      </c>
      <c r="L1120" t="s">
        <v>142</v>
      </c>
    </row>
    <row r="1121" spans="1:12" x14ac:dyDescent="0.3">
      <c r="A1121" t="s">
        <v>44</v>
      </c>
      <c r="B1121" t="s">
        <v>154</v>
      </c>
      <c r="C1121">
        <v>3</v>
      </c>
      <c r="D1121" t="s">
        <v>143</v>
      </c>
      <c r="E1121" t="s">
        <v>2773</v>
      </c>
      <c r="F1121" t="s">
        <v>160</v>
      </c>
      <c r="G1121" t="s">
        <v>2532</v>
      </c>
      <c r="H1121" t="s">
        <v>147</v>
      </c>
      <c r="I1121">
        <v>190</v>
      </c>
      <c r="J1121">
        <v>67</v>
      </c>
      <c r="K1121">
        <v>4</v>
      </c>
      <c r="L1121" t="s">
        <v>142</v>
      </c>
    </row>
    <row r="1122" spans="1:12" x14ac:dyDescent="0.3">
      <c r="A1122" t="s">
        <v>44</v>
      </c>
      <c r="B1122" t="s">
        <v>154</v>
      </c>
      <c r="C1122">
        <v>4</v>
      </c>
      <c r="D1122" t="s">
        <v>143</v>
      </c>
      <c r="E1122" t="s">
        <v>2774</v>
      </c>
      <c r="F1122" t="s">
        <v>2775</v>
      </c>
      <c r="G1122" t="s">
        <v>956</v>
      </c>
      <c r="H1122" t="s">
        <v>957</v>
      </c>
      <c r="I1122">
        <v>188</v>
      </c>
      <c r="J1122">
        <v>8</v>
      </c>
      <c r="K1122">
        <v>1</v>
      </c>
      <c r="L1122" t="s">
        <v>142</v>
      </c>
    </row>
    <row r="1123" spans="1:12" x14ac:dyDescent="0.3">
      <c r="A1123" t="s">
        <v>44</v>
      </c>
      <c r="B1123" t="s">
        <v>154</v>
      </c>
      <c r="C1123">
        <v>5</v>
      </c>
      <c r="D1123" t="s">
        <v>143</v>
      </c>
      <c r="E1123" t="s">
        <v>2776</v>
      </c>
      <c r="F1123" t="s">
        <v>2777</v>
      </c>
      <c r="G1123" t="s">
        <v>2778</v>
      </c>
      <c r="H1123" t="s">
        <v>523</v>
      </c>
      <c r="I1123">
        <v>188</v>
      </c>
      <c r="J1123">
        <v>2</v>
      </c>
      <c r="K1123">
        <v>0</v>
      </c>
      <c r="L1123" t="s">
        <v>142</v>
      </c>
    </row>
    <row r="1124" spans="1:12" x14ac:dyDescent="0.3">
      <c r="A1124" t="s">
        <v>44</v>
      </c>
      <c r="B1124" t="s">
        <v>154</v>
      </c>
      <c r="C1124">
        <v>6</v>
      </c>
      <c r="D1124" t="s">
        <v>143</v>
      </c>
      <c r="E1124" t="s">
        <v>2779</v>
      </c>
      <c r="F1124" t="s">
        <v>2780</v>
      </c>
      <c r="G1124" t="s">
        <v>2781</v>
      </c>
      <c r="H1124" t="s">
        <v>141</v>
      </c>
      <c r="I1124">
        <v>186</v>
      </c>
      <c r="J1124">
        <v>53</v>
      </c>
      <c r="K1124">
        <v>2</v>
      </c>
      <c r="L1124" t="s">
        <v>142</v>
      </c>
    </row>
    <row r="1125" spans="1:12" x14ac:dyDescent="0.3">
      <c r="A1125" t="s">
        <v>44</v>
      </c>
      <c r="B1125" t="s">
        <v>154</v>
      </c>
      <c r="C1125">
        <v>7</v>
      </c>
      <c r="D1125" t="s">
        <v>163</v>
      </c>
      <c r="E1125" t="s">
        <v>2782</v>
      </c>
      <c r="F1125" t="s">
        <v>2783</v>
      </c>
      <c r="G1125" t="s">
        <v>1058</v>
      </c>
      <c r="H1125" t="s">
        <v>340</v>
      </c>
      <c r="I1125">
        <v>187</v>
      </c>
      <c r="J1125">
        <v>33</v>
      </c>
      <c r="K1125">
        <v>5</v>
      </c>
      <c r="L1125" t="s">
        <v>142</v>
      </c>
    </row>
    <row r="1126" spans="1:12" x14ac:dyDescent="0.3">
      <c r="A1126" t="s">
        <v>44</v>
      </c>
      <c r="B1126" t="s">
        <v>154</v>
      </c>
      <c r="C1126">
        <v>8</v>
      </c>
      <c r="D1126" t="s">
        <v>163</v>
      </c>
      <c r="E1126" t="s">
        <v>2784</v>
      </c>
      <c r="F1126" t="s">
        <v>2785</v>
      </c>
      <c r="G1126" t="s">
        <v>2607</v>
      </c>
      <c r="H1126" t="s">
        <v>177</v>
      </c>
      <c r="I1126">
        <v>185</v>
      </c>
      <c r="J1126">
        <v>17</v>
      </c>
      <c r="K1126">
        <v>3</v>
      </c>
      <c r="L1126" t="s">
        <v>142</v>
      </c>
    </row>
    <row r="1127" spans="1:12" x14ac:dyDescent="0.3">
      <c r="A1127" t="s">
        <v>44</v>
      </c>
      <c r="B1127" t="s">
        <v>154</v>
      </c>
      <c r="C1127">
        <v>9</v>
      </c>
      <c r="D1127" t="s">
        <v>163</v>
      </c>
      <c r="E1127" t="s">
        <v>2786</v>
      </c>
      <c r="F1127" t="s">
        <v>2787</v>
      </c>
      <c r="G1127" t="s">
        <v>2788</v>
      </c>
      <c r="H1127" t="s">
        <v>629</v>
      </c>
      <c r="I1127">
        <v>191</v>
      </c>
      <c r="J1127">
        <v>20</v>
      </c>
      <c r="K1127">
        <v>5</v>
      </c>
      <c r="L1127" t="s">
        <v>142</v>
      </c>
    </row>
    <row r="1128" spans="1:12" x14ac:dyDescent="0.3">
      <c r="A1128" t="s">
        <v>44</v>
      </c>
      <c r="B1128" t="s">
        <v>154</v>
      </c>
      <c r="C1128">
        <v>10</v>
      </c>
      <c r="D1128" t="s">
        <v>158</v>
      </c>
      <c r="E1128" t="s">
        <v>2789</v>
      </c>
      <c r="F1128" t="s">
        <v>2790</v>
      </c>
      <c r="G1128" t="s">
        <v>882</v>
      </c>
      <c r="H1128" t="s">
        <v>194</v>
      </c>
      <c r="I1128">
        <v>177</v>
      </c>
      <c r="J1128">
        <v>48</v>
      </c>
      <c r="K1128">
        <v>1</v>
      </c>
      <c r="L1128" t="s">
        <v>142</v>
      </c>
    </row>
    <row r="1129" spans="1:12" x14ac:dyDescent="0.3">
      <c r="A1129" t="s">
        <v>44</v>
      </c>
      <c r="B1129" t="s">
        <v>154</v>
      </c>
      <c r="C1129">
        <v>11</v>
      </c>
      <c r="D1129" t="s">
        <v>158</v>
      </c>
      <c r="E1129" t="s">
        <v>2791</v>
      </c>
      <c r="F1129" t="s">
        <v>2792</v>
      </c>
      <c r="G1129" t="s">
        <v>411</v>
      </c>
      <c r="H1129" t="s">
        <v>177</v>
      </c>
      <c r="I1129">
        <v>180</v>
      </c>
      <c r="J1129">
        <v>20</v>
      </c>
      <c r="K1129">
        <v>2</v>
      </c>
      <c r="L1129" t="s">
        <v>142</v>
      </c>
    </row>
    <row r="1130" spans="1:12" x14ac:dyDescent="0.3">
      <c r="A1130" t="s">
        <v>44</v>
      </c>
      <c r="B1130" t="s">
        <v>154</v>
      </c>
      <c r="C1130">
        <v>12</v>
      </c>
      <c r="D1130" t="s">
        <v>143</v>
      </c>
      <c r="E1130" t="s">
        <v>2793</v>
      </c>
      <c r="F1130" t="s">
        <v>1506</v>
      </c>
      <c r="G1130" t="s">
        <v>2778</v>
      </c>
      <c r="H1130" t="s">
        <v>523</v>
      </c>
      <c r="I1130">
        <v>188</v>
      </c>
      <c r="J1130">
        <v>19</v>
      </c>
      <c r="K1130">
        <v>0</v>
      </c>
      <c r="L1130" t="s">
        <v>142</v>
      </c>
    </row>
    <row r="1131" spans="1:12" x14ac:dyDescent="0.3">
      <c r="A1131" t="s">
        <v>44</v>
      </c>
      <c r="B1131" t="s">
        <v>154</v>
      </c>
      <c r="C1131">
        <v>13</v>
      </c>
      <c r="D1131" t="s">
        <v>158</v>
      </c>
      <c r="E1131" t="s">
        <v>2794</v>
      </c>
      <c r="F1131" t="s">
        <v>2795</v>
      </c>
      <c r="G1131" t="s">
        <v>2796</v>
      </c>
      <c r="H1131" t="s">
        <v>177</v>
      </c>
      <c r="I1131">
        <v>188</v>
      </c>
      <c r="J1131">
        <v>6</v>
      </c>
      <c r="K1131">
        <v>0</v>
      </c>
      <c r="L1131" t="s">
        <v>142</v>
      </c>
    </row>
    <row r="1132" spans="1:12" x14ac:dyDescent="0.3">
      <c r="A1132" t="s">
        <v>44</v>
      </c>
      <c r="B1132" t="s">
        <v>154</v>
      </c>
      <c r="C1132">
        <v>14</v>
      </c>
      <c r="D1132" t="s">
        <v>158</v>
      </c>
      <c r="E1132" t="s">
        <v>2797</v>
      </c>
      <c r="F1132" t="s">
        <v>2798</v>
      </c>
      <c r="G1132" t="s">
        <v>597</v>
      </c>
      <c r="H1132" t="s">
        <v>147</v>
      </c>
      <c r="I1132">
        <v>174</v>
      </c>
      <c r="J1132">
        <v>4</v>
      </c>
      <c r="K1132">
        <v>0</v>
      </c>
      <c r="L1132" t="s">
        <v>142</v>
      </c>
    </row>
    <row r="1133" spans="1:12" x14ac:dyDescent="0.3">
      <c r="A1133" t="s">
        <v>44</v>
      </c>
      <c r="B1133" t="s">
        <v>154</v>
      </c>
      <c r="C1133">
        <v>15</v>
      </c>
      <c r="D1133" t="s">
        <v>158</v>
      </c>
      <c r="E1133" t="s">
        <v>2799</v>
      </c>
      <c r="F1133" t="s">
        <v>2800</v>
      </c>
      <c r="G1133" t="s">
        <v>1540</v>
      </c>
      <c r="H1133" t="s">
        <v>141</v>
      </c>
      <c r="I1133">
        <v>179</v>
      </c>
      <c r="J1133">
        <v>11</v>
      </c>
      <c r="K1133">
        <v>0</v>
      </c>
      <c r="L1133" t="s">
        <v>142</v>
      </c>
    </row>
    <row r="1134" spans="1:12" x14ac:dyDescent="0.3">
      <c r="A1134" t="s">
        <v>44</v>
      </c>
      <c r="B1134" t="s">
        <v>154</v>
      </c>
      <c r="C1134">
        <v>16</v>
      </c>
      <c r="D1134" t="s">
        <v>137</v>
      </c>
      <c r="E1134" t="s">
        <v>2801</v>
      </c>
      <c r="F1134" t="s">
        <v>2802</v>
      </c>
      <c r="G1134" t="s">
        <v>2803</v>
      </c>
      <c r="H1134" t="s">
        <v>154</v>
      </c>
      <c r="I1134">
        <v>188</v>
      </c>
      <c r="J1134">
        <v>39</v>
      </c>
      <c r="K1134">
        <v>0</v>
      </c>
      <c r="L1134" t="s">
        <v>142</v>
      </c>
    </row>
    <row r="1135" spans="1:12" x14ac:dyDescent="0.3">
      <c r="A1135" t="s">
        <v>44</v>
      </c>
      <c r="B1135" t="s">
        <v>154</v>
      </c>
      <c r="C1135">
        <v>17</v>
      </c>
      <c r="D1135" t="s">
        <v>158</v>
      </c>
      <c r="E1135" t="s">
        <v>2804</v>
      </c>
      <c r="F1135" t="s">
        <v>2805</v>
      </c>
      <c r="G1135" t="s">
        <v>176</v>
      </c>
      <c r="H1135" t="s">
        <v>177</v>
      </c>
      <c r="I1135">
        <v>185</v>
      </c>
      <c r="J1135">
        <v>86</v>
      </c>
      <c r="K1135">
        <v>4</v>
      </c>
      <c r="L1135" t="s">
        <v>142</v>
      </c>
    </row>
    <row r="1136" spans="1:12" x14ac:dyDescent="0.3">
      <c r="A1136" t="s">
        <v>44</v>
      </c>
      <c r="B1136" t="s">
        <v>154</v>
      </c>
      <c r="C1136">
        <v>18</v>
      </c>
      <c r="D1136" t="s">
        <v>163</v>
      </c>
      <c r="E1136" t="s">
        <v>2806</v>
      </c>
      <c r="F1136" t="s">
        <v>2807</v>
      </c>
      <c r="G1136" t="s">
        <v>2277</v>
      </c>
      <c r="H1136" t="s">
        <v>734</v>
      </c>
      <c r="I1136">
        <v>180</v>
      </c>
      <c r="J1136">
        <v>4</v>
      </c>
      <c r="K1136">
        <v>0</v>
      </c>
      <c r="L1136" t="s">
        <v>142</v>
      </c>
    </row>
    <row r="1137" spans="1:12" x14ac:dyDescent="0.3">
      <c r="A1137" t="s">
        <v>44</v>
      </c>
      <c r="B1137" t="s">
        <v>154</v>
      </c>
      <c r="C1137">
        <v>19</v>
      </c>
      <c r="D1137" t="s">
        <v>163</v>
      </c>
      <c r="E1137" t="s">
        <v>2808</v>
      </c>
      <c r="F1137" t="s">
        <v>2809</v>
      </c>
      <c r="G1137" t="s">
        <v>2771</v>
      </c>
      <c r="H1137" t="s">
        <v>154</v>
      </c>
      <c r="I1137">
        <v>185</v>
      </c>
      <c r="J1137">
        <v>33</v>
      </c>
      <c r="K1137">
        <v>6</v>
      </c>
      <c r="L1137" t="s">
        <v>142</v>
      </c>
    </row>
    <row r="1138" spans="1:12" x14ac:dyDescent="0.3">
      <c r="A1138" t="s">
        <v>44</v>
      </c>
      <c r="B1138" t="s">
        <v>154</v>
      </c>
      <c r="C1138">
        <v>20</v>
      </c>
      <c r="D1138" t="s">
        <v>143</v>
      </c>
      <c r="E1138" t="s">
        <v>2810</v>
      </c>
      <c r="F1138" t="s">
        <v>2811</v>
      </c>
      <c r="G1138" t="s">
        <v>187</v>
      </c>
      <c r="H1138" t="s">
        <v>141</v>
      </c>
      <c r="I1138">
        <v>181</v>
      </c>
      <c r="J1138">
        <v>25</v>
      </c>
      <c r="K1138">
        <v>0</v>
      </c>
      <c r="L1138" t="s">
        <v>142</v>
      </c>
    </row>
    <row r="1139" spans="1:12" x14ac:dyDescent="0.3">
      <c r="A1139" t="s">
        <v>44</v>
      </c>
      <c r="B1139" t="s">
        <v>154</v>
      </c>
      <c r="C1139">
        <v>21</v>
      </c>
      <c r="D1139" t="s">
        <v>143</v>
      </c>
      <c r="E1139" t="s">
        <v>2812</v>
      </c>
      <c r="F1139" t="s">
        <v>2813</v>
      </c>
      <c r="G1139" t="s">
        <v>153</v>
      </c>
      <c r="H1139" t="s">
        <v>154</v>
      </c>
      <c r="I1139">
        <v>181</v>
      </c>
      <c r="J1139">
        <v>16</v>
      </c>
      <c r="K1139">
        <v>0</v>
      </c>
      <c r="L1139" t="s">
        <v>142</v>
      </c>
    </row>
    <row r="1140" spans="1:12" x14ac:dyDescent="0.3">
      <c r="A1140" t="s">
        <v>44</v>
      </c>
      <c r="B1140" t="s">
        <v>154</v>
      </c>
      <c r="C1140">
        <v>22</v>
      </c>
      <c r="D1140" t="s">
        <v>137</v>
      </c>
      <c r="E1140" t="s">
        <v>2814</v>
      </c>
      <c r="F1140" t="s">
        <v>2815</v>
      </c>
      <c r="G1140" t="s">
        <v>2816</v>
      </c>
      <c r="H1140" t="s">
        <v>154</v>
      </c>
      <c r="I1140">
        <v>189</v>
      </c>
      <c r="J1140">
        <v>1</v>
      </c>
      <c r="K1140">
        <v>0</v>
      </c>
      <c r="L1140" t="s">
        <v>142</v>
      </c>
    </row>
    <row r="1141" spans="1:12" x14ac:dyDescent="0.3">
      <c r="A1141" t="s">
        <v>44</v>
      </c>
      <c r="B1141" t="s">
        <v>154</v>
      </c>
      <c r="C1141">
        <v>23</v>
      </c>
      <c r="D1141" t="s">
        <v>143</v>
      </c>
      <c r="E1141" t="s">
        <v>2817</v>
      </c>
      <c r="F1141" t="s">
        <v>2818</v>
      </c>
      <c r="G1141" t="s">
        <v>2819</v>
      </c>
      <c r="H1141" t="s">
        <v>2664</v>
      </c>
      <c r="I1141">
        <v>182</v>
      </c>
      <c r="J1141">
        <v>5</v>
      </c>
      <c r="K1141">
        <v>0</v>
      </c>
      <c r="L1141" t="s">
        <v>142</v>
      </c>
    </row>
    <row r="1142" spans="1:12" x14ac:dyDescent="0.3">
      <c r="A1142" t="s">
        <v>44</v>
      </c>
      <c r="B1142" t="s">
        <v>154</v>
      </c>
      <c r="C1142">
        <v>24</v>
      </c>
      <c r="D1142" t="s">
        <v>143</v>
      </c>
      <c r="E1142" t="s">
        <v>2820</v>
      </c>
      <c r="F1142" t="s">
        <v>2821</v>
      </c>
      <c r="G1142" t="s">
        <v>2822</v>
      </c>
      <c r="H1142" t="s">
        <v>154</v>
      </c>
      <c r="I1142">
        <v>191</v>
      </c>
      <c r="J1142">
        <v>0</v>
      </c>
      <c r="K1142">
        <v>0</v>
      </c>
      <c r="L1142" t="s">
        <v>142</v>
      </c>
    </row>
    <row r="1143" spans="1:12" x14ac:dyDescent="0.3">
      <c r="A1143" t="s">
        <v>44</v>
      </c>
      <c r="B1143" t="s">
        <v>154</v>
      </c>
      <c r="C1143">
        <v>25</v>
      </c>
      <c r="D1143" t="s">
        <v>158</v>
      </c>
      <c r="E1143" t="s">
        <v>2823</v>
      </c>
      <c r="F1143" t="s">
        <v>2824</v>
      </c>
      <c r="G1143" t="s">
        <v>330</v>
      </c>
      <c r="H1143" t="s">
        <v>194</v>
      </c>
      <c r="I1143">
        <v>188</v>
      </c>
      <c r="J1143">
        <v>43</v>
      </c>
      <c r="K1143">
        <v>4</v>
      </c>
      <c r="L1143" t="s">
        <v>142</v>
      </c>
    </row>
    <row r="1144" spans="1:12" x14ac:dyDescent="0.3">
      <c r="A1144" t="s">
        <v>44</v>
      </c>
      <c r="B1144" t="s">
        <v>154</v>
      </c>
      <c r="C1144">
        <v>26</v>
      </c>
      <c r="D1144" t="s">
        <v>158</v>
      </c>
      <c r="E1144" t="s">
        <v>2825</v>
      </c>
      <c r="F1144" t="s">
        <v>1185</v>
      </c>
      <c r="G1144" t="s">
        <v>739</v>
      </c>
      <c r="H1144" t="s">
        <v>347</v>
      </c>
      <c r="I1144">
        <v>182</v>
      </c>
      <c r="J1144">
        <v>15</v>
      </c>
      <c r="K1144">
        <v>1</v>
      </c>
      <c r="L1144" t="s">
        <v>142</v>
      </c>
    </row>
    <row r="1145" spans="1:12" x14ac:dyDescent="0.3">
      <c r="A1145" t="s">
        <v>35</v>
      </c>
      <c r="B1145" t="s">
        <v>523</v>
      </c>
      <c r="C1145">
        <v>1</v>
      </c>
      <c r="D1145" t="s">
        <v>137</v>
      </c>
      <c r="E1145" t="s">
        <v>2826</v>
      </c>
      <c r="F1145" t="s">
        <v>2827</v>
      </c>
      <c r="G1145" t="s">
        <v>645</v>
      </c>
      <c r="H1145" t="s">
        <v>523</v>
      </c>
      <c r="I1145">
        <v>196</v>
      </c>
      <c r="J1145">
        <v>37</v>
      </c>
      <c r="K1145">
        <v>0</v>
      </c>
      <c r="L1145" t="s">
        <v>142</v>
      </c>
    </row>
    <row r="1146" spans="1:12" x14ac:dyDescent="0.3">
      <c r="A1146" t="s">
        <v>35</v>
      </c>
      <c r="B1146" t="s">
        <v>523</v>
      </c>
      <c r="C1146">
        <v>2</v>
      </c>
      <c r="D1146" t="s">
        <v>143</v>
      </c>
      <c r="E1146" t="s">
        <v>2828</v>
      </c>
      <c r="F1146" t="s">
        <v>2829</v>
      </c>
      <c r="G1146" t="s">
        <v>996</v>
      </c>
      <c r="H1146" t="s">
        <v>200</v>
      </c>
      <c r="I1146">
        <v>180</v>
      </c>
      <c r="J1146">
        <v>63</v>
      </c>
      <c r="K1146">
        <v>3</v>
      </c>
      <c r="L1146" t="s">
        <v>142</v>
      </c>
    </row>
    <row r="1147" spans="1:12" x14ac:dyDescent="0.3">
      <c r="A1147" t="s">
        <v>35</v>
      </c>
      <c r="B1147" t="s">
        <v>523</v>
      </c>
      <c r="C1147">
        <v>3</v>
      </c>
      <c r="D1147" t="s">
        <v>143</v>
      </c>
      <c r="E1147" t="s">
        <v>2830</v>
      </c>
      <c r="F1147" t="s">
        <v>2831</v>
      </c>
      <c r="G1147" t="s">
        <v>166</v>
      </c>
      <c r="H1147" t="s">
        <v>167</v>
      </c>
      <c r="I1147">
        <v>190</v>
      </c>
      <c r="J1147">
        <v>65</v>
      </c>
      <c r="K1147">
        <v>6</v>
      </c>
      <c r="L1147" t="s">
        <v>142</v>
      </c>
    </row>
    <row r="1148" spans="1:12" x14ac:dyDescent="0.3">
      <c r="A1148" t="s">
        <v>35</v>
      </c>
      <c r="B1148" t="s">
        <v>523</v>
      </c>
      <c r="C1148">
        <v>4</v>
      </c>
      <c r="D1148" t="s">
        <v>143</v>
      </c>
      <c r="E1148" t="s">
        <v>2832</v>
      </c>
      <c r="F1148" t="s">
        <v>2833</v>
      </c>
      <c r="G1148" t="s">
        <v>645</v>
      </c>
      <c r="H1148" t="s">
        <v>523</v>
      </c>
      <c r="I1148">
        <v>185</v>
      </c>
      <c r="J1148">
        <v>61</v>
      </c>
      <c r="K1148">
        <v>2</v>
      </c>
      <c r="L1148" t="s">
        <v>142</v>
      </c>
    </row>
    <row r="1149" spans="1:12" x14ac:dyDescent="0.3">
      <c r="A1149" t="s">
        <v>35</v>
      </c>
      <c r="B1149" t="s">
        <v>523</v>
      </c>
      <c r="C1149">
        <v>5</v>
      </c>
      <c r="D1149" t="s">
        <v>158</v>
      </c>
      <c r="E1149" t="s">
        <v>2834</v>
      </c>
      <c r="F1149" t="s">
        <v>2835</v>
      </c>
      <c r="G1149" t="s">
        <v>212</v>
      </c>
      <c r="H1149" t="s">
        <v>177</v>
      </c>
      <c r="I1149">
        <v>182</v>
      </c>
      <c r="J1149">
        <v>32</v>
      </c>
      <c r="K1149">
        <v>1</v>
      </c>
      <c r="L1149" t="s">
        <v>142</v>
      </c>
    </row>
    <row r="1150" spans="1:12" x14ac:dyDescent="0.3">
      <c r="A1150" t="s">
        <v>35</v>
      </c>
      <c r="B1150" t="s">
        <v>523</v>
      </c>
      <c r="C1150">
        <v>6</v>
      </c>
      <c r="D1150" t="s">
        <v>158</v>
      </c>
      <c r="E1150" t="s">
        <v>2836</v>
      </c>
      <c r="F1150" t="s">
        <v>1169</v>
      </c>
      <c r="G1150" t="s">
        <v>993</v>
      </c>
      <c r="H1150" t="s">
        <v>523</v>
      </c>
      <c r="I1150">
        <v>175</v>
      </c>
      <c r="J1150">
        <v>53</v>
      </c>
      <c r="K1150">
        <v>4</v>
      </c>
      <c r="L1150" t="s">
        <v>142</v>
      </c>
    </row>
    <row r="1151" spans="1:12" x14ac:dyDescent="0.3">
      <c r="A1151" t="s">
        <v>35</v>
      </c>
      <c r="B1151" t="s">
        <v>523</v>
      </c>
      <c r="C1151">
        <v>7</v>
      </c>
      <c r="D1151" t="s">
        <v>163</v>
      </c>
      <c r="E1151" t="s">
        <v>2837</v>
      </c>
      <c r="F1151" t="s">
        <v>2690</v>
      </c>
      <c r="G1151" t="s">
        <v>645</v>
      </c>
      <c r="H1151" t="s">
        <v>523</v>
      </c>
      <c r="I1151">
        <v>172</v>
      </c>
      <c r="J1151">
        <v>54</v>
      </c>
      <c r="K1151">
        <v>15</v>
      </c>
      <c r="L1151" t="s">
        <v>142</v>
      </c>
    </row>
    <row r="1152" spans="1:12" x14ac:dyDescent="0.3">
      <c r="A1152" t="s">
        <v>35</v>
      </c>
      <c r="B1152" t="s">
        <v>523</v>
      </c>
      <c r="C1152">
        <v>8</v>
      </c>
      <c r="D1152" t="s">
        <v>163</v>
      </c>
      <c r="E1152" t="s">
        <v>2838</v>
      </c>
      <c r="F1152" t="s">
        <v>2839</v>
      </c>
      <c r="G1152" t="s">
        <v>403</v>
      </c>
      <c r="H1152" t="s">
        <v>219</v>
      </c>
      <c r="I1152">
        <v>175</v>
      </c>
      <c r="J1152">
        <v>33</v>
      </c>
      <c r="K1152">
        <v>7</v>
      </c>
      <c r="L1152" t="s">
        <v>142</v>
      </c>
    </row>
    <row r="1153" spans="1:12" x14ac:dyDescent="0.3">
      <c r="A1153" t="s">
        <v>35</v>
      </c>
      <c r="B1153" t="s">
        <v>523</v>
      </c>
      <c r="C1153">
        <v>9</v>
      </c>
      <c r="D1153" t="s">
        <v>163</v>
      </c>
      <c r="E1153" t="s">
        <v>2840</v>
      </c>
      <c r="F1153" t="s">
        <v>2841</v>
      </c>
      <c r="G1153" t="s">
        <v>962</v>
      </c>
      <c r="H1153" t="s">
        <v>281</v>
      </c>
      <c r="I1153">
        <v>192</v>
      </c>
      <c r="J1153">
        <v>10</v>
      </c>
      <c r="K1153">
        <v>2</v>
      </c>
      <c r="L1153" t="s">
        <v>142</v>
      </c>
    </row>
    <row r="1154" spans="1:12" x14ac:dyDescent="0.3">
      <c r="A1154" t="s">
        <v>35</v>
      </c>
      <c r="B1154" t="s">
        <v>523</v>
      </c>
      <c r="C1154">
        <v>10</v>
      </c>
      <c r="D1154" t="s">
        <v>158</v>
      </c>
      <c r="E1154" t="s">
        <v>2842</v>
      </c>
      <c r="F1154" t="s">
        <v>2843</v>
      </c>
      <c r="G1154" t="s">
        <v>291</v>
      </c>
      <c r="H1154" t="s">
        <v>200</v>
      </c>
      <c r="I1154">
        <v>178</v>
      </c>
      <c r="J1154">
        <v>108</v>
      </c>
      <c r="K1154">
        <v>22</v>
      </c>
      <c r="L1154" t="s">
        <v>142</v>
      </c>
    </row>
    <row r="1155" spans="1:12" x14ac:dyDescent="0.3">
      <c r="A1155" t="s">
        <v>35</v>
      </c>
      <c r="B1155" t="s">
        <v>523</v>
      </c>
      <c r="C1155">
        <v>11</v>
      </c>
      <c r="D1155" t="s">
        <v>163</v>
      </c>
      <c r="E1155" t="s">
        <v>2844</v>
      </c>
      <c r="F1155" t="s">
        <v>2845</v>
      </c>
      <c r="G1155" t="s">
        <v>623</v>
      </c>
      <c r="H1155" t="s">
        <v>200</v>
      </c>
      <c r="I1155">
        <v>187</v>
      </c>
      <c r="J1155">
        <v>31</v>
      </c>
      <c r="K1155">
        <v>5</v>
      </c>
      <c r="L1155" t="s">
        <v>142</v>
      </c>
    </row>
    <row r="1156" spans="1:12" x14ac:dyDescent="0.3">
      <c r="A1156" t="s">
        <v>35</v>
      </c>
      <c r="B1156" t="s">
        <v>523</v>
      </c>
      <c r="C1156">
        <v>12</v>
      </c>
      <c r="D1156" t="s">
        <v>137</v>
      </c>
      <c r="E1156" t="s">
        <v>2846</v>
      </c>
      <c r="F1156" t="s">
        <v>2847</v>
      </c>
      <c r="G1156" t="s">
        <v>248</v>
      </c>
      <c r="H1156" t="s">
        <v>194</v>
      </c>
      <c r="I1156">
        <v>198</v>
      </c>
      <c r="J1156">
        <v>12</v>
      </c>
      <c r="K1156">
        <v>0</v>
      </c>
      <c r="L1156" t="s">
        <v>142</v>
      </c>
    </row>
    <row r="1157" spans="1:12" x14ac:dyDescent="0.3">
      <c r="A1157" t="s">
        <v>35</v>
      </c>
      <c r="B1157" t="s">
        <v>523</v>
      </c>
      <c r="C1157">
        <v>13</v>
      </c>
      <c r="D1157" t="s">
        <v>143</v>
      </c>
      <c r="E1157" t="s">
        <v>2848</v>
      </c>
      <c r="F1157" t="s">
        <v>1850</v>
      </c>
      <c r="G1157" t="s">
        <v>861</v>
      </c>
      <c r="H1157" t="s">
        <v>523</v>
      </c>
      <c r="I1157">
        <v>181</v>
      </c>
      <c r="J1157">
        <v>25</v>
      </c>
      <c r="K1157">
        <v>0</v>
      </c>
      <c r="L1157" t="s">
        <v>142</v>
      </c>
    </row>
    <row r="1158" spans="1:12" x14ac:dyDescent="0.3">
      <c r="A1158" t="s">
        <v>35</v>
      </c>
      <c r="B1158" t="s">
        <v>523</v>
      </c>
      <c r="C1158">
        <v>14</v>
      </c>
      <c r="D1158" t="s">
        <v>143</v>
      </c>
      <c r="E1158" t="s">
        <v>2849</v>
      </c>
      <c r="F1158" t="s">
        <v>2850</v>
      </c>
      <c r="G1158" t="s">
        <v>861</v>
      </c>
      <c r="H1158" t="s">
        <v>523</v>
      </c>
      <c r="I1158">
        <v>185</v>
      </c>
      <c r="J1158">
        <v>30</v>
      </c>
      <c r="K1158">
        <v>2</v>
      </c>
      <c r="L1158" t="s">
        <v>142</v>
      </c>
    </row>
    <row r="1159" spans="1:12" x14ac:dyDescent="0.3">
      <c r="A1159" t="s">
        <v>35</v>
      </c>
      <c r="B1159" t="s">
        <v>523</v>
      </c>
      <c r="C1159">
        <v>15</v>
      </c>
      <c r="D1159" t="s">
        <v>143</v>
      </c>
      <c r="E1159" t="s">
        <v>2851</v>
      </c>
      <c r="F1159" t="s">
        <v>1035</v>
      </c>
      <c r="G1159" t="s">
        <v>442</v>
      </c>
      <c r="H1159" t="s">
        <v>177</v>
      </c>
      <c r="I1159">
        <v>187</v>
      </c>
      <c r="J1159">
        <v>31</v>
      </c>
      <c r="K1159">
        <v>2</v>
      </c>
      <c r="L1159" t="s">
        <v>142</v>
      </c>
    </row>
    <row r="1160" spans="1:12" x14ac:dyDescent="0.3">
      <c r="A1160" t="s">
        <v>35</v>
      </c>
      <c r="B1160" t="s">
        <v>523</v>
      </c>
      <c r="C1160">
        <v>16</v>
      </c>
      <c r="D1160" t="s">
        <v>158</v>
      </c>
      <c r="E1160" t="s">
        <v>2852</v>
      </c>
      <c r="F1160" t="s">
        <v>2853</v>
      </c>
      <c r="G1160" t="s">
        <v>645</v>
      </c>
      <c r="H1160" t="s">
        <v>523</v>
      </c>
      <c r="I1160">
        <v>183</v>
      </c>
      <c r="J1160">
        <v>34</v>
      </c>
      <c r="K1160">
        <v>1</v>
      </c>
      <c r="L1160" t="s">
        <v>142</v>
      </c>
    </row>
    <row r="1161" spans="1:12" x14ac:dyDescent="0.3">
      <c r="A1161" t="s">
        <v>35</v>
      </c>
      <c r="B1161" t="s">
        <v>523</v>
      </c>
      <c r="C1161">
        <v>17</v>
      </c>
      <c r="D1161" t="s">
        <v>163</v>
      </c>
      <c r="E1161" t="s">
        <v>2854</v>
      </c>
      <c r="F1161" t="s">
        <v>2855</v>
      </c>
      <c r="G1161" t="s">
        <v>2778</v>
      </c>
      <c r="H1161" t="s">
        <v>523</v>
      </c>
      <c r="I1161">
        <v>180</v>
      </c>
      <c r="J1161">
        <v>48</v>
      </c>
      <c r="K1161">
        <v>6</v>
      </c>
      <c r="L1161" t="s">
        <v>142</v>
      </c>
    </row>
    <row r="1162" spans="1:12" x14ac:dyDescent="0.3">
      <c r="A1162" t="s">
        <v>35</v>
      </c>
      <c r="B1162" t="s">
        <v>523</v>
      </c>
      <c r="C1162">
        <v>18</v>
      </c>
      <c r="D1162" t="s">
        <v>143</v>
      </c>
      <c r="E1162" t="s">
        <v>2856</v>
      </c>
      <c r="F1162" t="s">
        <v>2857</v>
      </c>
      <c r="G1162" t="s">
        <v>645</v>
      </c>
      <c r="H1162" t="s">
        <v>523</v>
      </c>
      <c r="I1162">
        <v>184</v>
      </c>
      <c r="J1162">
        <v>48</v>
      </c>
      <c r="K1162">
        <v>3</v>
      </c>
      <c r="L1162" t="s">
        <v>142</v>
      </c>
    </row>
    <row r="1163" spans="1:12" x14ac:dyDescent="0.3">
      <c r="A1163" t="s">
        <v>35</v>
      </c>
      <c r="B1163" t="s">
        <v>523</v>
      </c>
      <c r="C1163">
        <v>19</v>
      </c>
      <c r="D1163" t="s">
        <v>163</v>
      </c>
      <c r="E1163" t="s">
        <v>2858</v>
      </c>
      <c r="F1163" t="s">
        <v>1850</v>
      </c>
      <c r="G1163" t="s">
        <v>861</v>
      </c>
      <c r="H1163" t="s">
        <v>523</v>
      </c>
      <c r="I1163">
        <v>173</v>
      </c>
      <c r="J1163">
        <v>21</v>
      </c>
      <c r="K1163">
        <v>4</v>
      </c>
      <c r="L1163" t="s">
        <v>142</v>
      </c>
    </row>
    <row r="1164" spans="1:12" x14ac:dyDescent="0.3">
      <c r="A1164" t="s">
        <v>35</v>
      </c>
      <c r="B1164" t="s">
        <v>523</v>
      </c>
      <c r="C1164">
        <v>20</v>
      </c>
      <c r="D1164" t="s">
        <v>143</v>
      </c>
      <c r="E1164" t="s">
        <v>2859</v>
      </c>
      <c r="F1164" t="s">
        <v>2860</v>
      </c>
      <c r="G1164" t="s">
        <v>466</v>
      </c>
      <c r="H1164" t="s">
        <v>194</v>
      </c>
      <c r="I1164">
        <v>174</v>
      </c>
      <c r="J1164">
        <v>32</v>
      </c>
      <c r="K1164">
        <v>2</v>
      </c>
      <c r="L1164" t="s">
        <v>142</v>
      </c>
    </row>
    <row r="1165" spans="1:12" x14ac:dyDescent="0.3">
      <c r="A1165" t="s">
        <v>35</v>
      </c>
      <c r="B1165" t="s">
        <v>523</v>
      </c>
      <c r="C1165">
        <v>21</v>
      </c>
      <c r="D1165" t="s">
        <v>163</v>
      </c>
      <c r="E1165" t="s">
        <v>2861</v>
      </c>
      <c r="F1165" t="s">
        <v>1935</v>
      </c>
      <c r="G1165" t="s">
        <v>861</v>
      </c>
      <c r="H1165" t="s">
        <v>523</v>
      </c>
      <c r="I1165">
        <v>186</v>
      </c>
      <c r="J1165">
        <v>38</v>
      </c>
      <c r="K1165">
        <v>5</v>
      </c>
      <c r="L1165" t="s">
        <v>142</v>
      </c>
    </row>
    <row r="1166" spans="1:12" x14ac:dyDescent="0.3">
      <c r="A1166" t="s">
        <v>35</v>
      </c>
      <c r="B1166" t="s">
        <v>523</v>
      </c>
      <c r="C1166">
        <v>22</v>
      </c>
      <c r="D1166" t="s">
        <v>158</v>
      </c>
      <c r="E1166" t="s">
        <v>2862</v>
      </c>
      <c r="F1166" t="s">
        <v>2863</v>
      </c>
      <c r="G1166" t="s">
        <v>861</v>
      </c>
      <c r="H1166" t="s">
        <v>523</v>
      </c>
      <c r="I1166">
        <v>185</v>
      </c>
      <c r="J1166">
        <v>74</v>
      </c>
      <c r="K1166">
        <v>6</v>
      </c>
      <c r="L1166" t="s">
        <v>142</v>
      </c>
    </row>
    <row r="1167" spans="1:12" x14ac:dyDescent="0.3">
      <c r="A1167" t="s">
        <v>35</v>
      </c>
      <c r="B1167" t="s">
        <v>523</v>
      </c>
      <c r="C1167">
        <v>23</v>
      </c>
      <c r="D1167" t="s">
        <v>137</v>
      </c>
      <c r="E1167" t="s">
        <v>2864</v>
      </c>
      <c r="F1167" t="s">
        <v>2001</v>
      </c>
      <c r="G1167" t="s">
        <v>861</v>
      </c>
      <c r="H1167" t="s">
        <v>523</v>
      </c>
      <c r="I1167">
        <v>191</v>
      </c>
      <c r="J1167">
        <v>42</v>
      </c>
      <c r="K1167">
        <v>0</v>
      </c>
      <c r="L1167" t="s">
        <v>142</v>
      </c>
    </row>
    <row r="1168" spans="1:12" x14ac:dyDescent="0.3">
      <c r="A1168" t="s">
        <v>35</v>
      </c>
      <c r="B1168" t="s">
        <v>523</v>
      </c>
      <c r="C1168">
        <v>24</v>
      </c>
      <c r="D1168" t="s">
        <v>163</v>
      </c>
      <c r="E1168" t="s">
        <v>2865</v>
      </c>
      <c r="F1168" t="s">
        <v>2866</v>
      </c>
      <c r="G1168" t="s">
        <v>645</v>
      </c>
      <c r="H1168" t="s">
        <v>523</v>
      </c>
      <c r="I1168">
        <v>183</v>
      </c>
      <c r="J1168">
        <v>12</v>
      </c>
      <c r="K1168">
        <v>0</v>
      </c>
      <c r="L1168" t="s">
        <v>142</v>
      </c>
    </row>
    <row r="1169" spans="1:12" x14ac:dyDescent="0.3">
      <c r="A1169" t="s">
        <v>35</v>
      </c>
      <c r="B1169" t="s">
        <v>523</v>
      </c>
      <c r="C1169">
        <v>25</v>
      </c>
      <c r="D1169" t="s">
        <v>143</v>
      </c>
      <c r="E1169" t="s">
        <v>2867</v>
      </c>
      <c r="F1169" t="s">
        <v>2868</v>
      </c>
      <c r="G1169" t="s">
        <v>948</v>
      </c>
      <c r="H1169" t="s">
        <v>523</v>
      </c>
      <c r="I1169">
        <v>190</v>
      </c>
      <c r="J1169">
        <v>19</v>
      </c>
      <c r="K1169">
        <v>1</v>
      </c>
      <c r="L1169" t="s">
        <v>142</v>
      </c>
    </row>
    <row r="1170" spans="1:12" x14ac:dyDescent="0.3">
      <c r="A1170" t="s">
        <v>35</v>
      </c>
      <c r="B1170" t="s">
        <v>523</v>
      </c>
      <c r="C1170">
        <v>26</v>
      </c>
      <c r="D1170" t="s">
        <v>163</v>
      </c>
      <c r="E1170" t="s">
        <v>2869</v>
      </c>
      <c r="F1170" t="s">
        <v>2495</v>
      </c>
      <c r="G1170" t="s">
        <v>176</v>
      </c>
      <c r="H1170" t="s">
        <v>177</v>
      </c>
      <c r="I1170">
        <v>186</v>
      </c>
      <c r="J1170">
        <v>8</v>
      </c>
      <c r="K1170">
        <v>1</v>
      </c>
      <c r="L1170" t="s">
        <v>142</v>
      </c>
    </row>
    <row r="1171" spans="1:12" x14ac:dyDescent="0.3">
      <c r="A1171" t="s">
        <v>50</v>
      </c>
      <c r="B1171" t="s">
        <v>2180</v>
      </c>
      <c r="C1171">
        <v>1</v>
      </c>
      <c r="D1171" t="s">
        <v>137</v>
      </c>
      <c r="E1171" t="s">
        <v>2870</v>
      </c>
      <c r="F1171" t="s">
        <v>2871</v>
      </c>
      <c r="G1171" t="s">
        <v>1198</v>
      </c>
      <c r="H1171" t="s">
        <v>288</v>
      </c>
      <c r="I1171">
        <v>189</v>
      </c>
      <c r="J1171">
        <v>36</v>
      </c>
      <c r="K1171">
        <v>0</v>
      </c>
      <c r="L1171" t="s">
        <v>142</v>
      </c>
    </row>
    <row r="1172" spans="1:12" x14ac:dyDescent="0.3">
      <c r="A1172" t="s">
        <v>50</v>
      </c>
      <c r="B1172" t="s">
        <v>2180</v>
      </c>
      <c r="C1172">
        <v>2</v>
      </c>
      <c r="D1172" t="s">
        <v>143</v>
      </c>
      <c r="E1172" t="s">
        <v>2872</v>
      </c>
      <c r="F1172" t="s">
        <v>2873</v>
      </c>
      <c r="G1172" t="s">
        <v>233</v>
      </c>
      <c r="H1172" t="s">
        <v>219</v>
      </c>
      <c r="I1172">
        <v>186</v>
      </c>
      <c r="J1172">
        <v>99</v>
      </c>
      <c r="K1172">
        <v>8</v>
      </c>
      <c r="L1172" t="s">
        <v>142</v>
      </c>
    </row>
    <row r="1173" spans="1:12" x14ac:dyDescent="0.3">
      <c r="A1173" t="s">
        <v>50</v>
      </c>
      <c r="B1173" t="s">
        <v>2180</v>
      </c>
      <c r="C1173">
        <v>3</v>
      </c>
      <c r="D1173" t="s">
        <v>143</v>
      </c>
      <c r="E1173" t="s">
        <v>2874</v>
      </c>
      <c r="F1173" t="s">
        <v>2875</v>
      </c>
      <c r="G1173" t="s">
        <v>1936</v>
      </c>
      <c r="H1173" t="s">
        <v>831</v>
      </c>
      <c r="I1173">
        <v>180</v>
      </c>
      <c r="J1173">
        <v>26</v>
      </c>
      <c r="K1173">
        <v>0</v>
      </c>
      <c r="L1173" t="s">
        <v>142</v>
      </c>
    </row>
    <row r="1174" spans="1:12" x14ac:dyDescent="0.3">
      <c r="A1174" t="s">
        <v>50</v>
      </c>
      <c r="B1174" t="s">
        <v>2180</v>
      </c>
      <c r="C1174">
        <v>4</v>
      </c>
      <c r="D1174" t="s">
        <v>143</v>
      </c>
      <c r="E1174" t="s">
        <v>2876</v>
      </c>
      <c r="F1174" t="s">
        <v>2877</v>
      </c>
      <c r="G1174" t="s">
        <v>615</v>
      </c>
      <c r="H1174" t="s">
        <v>219</v>
      </c>
      <c r="I1174">
        <v>185</v>
      </c>
      <c r="J1174">
        <v>27</v>
      </c>
      <c r="K1174">
        <v>1</v>
      </c>
      <c r="L1174" t="s">
        <v>142</v>
      </c>
    </row>
    <row r="1175" spans="1:12" x14ac:dyDescent="0.3">
      <c r="A1175" t="s">
        <v>50</v>
      </c>
      <c r="B1175" t="s">
        <v>2180</v>
      </c>
      <c r="C1175">
        <v>5</v>
      </c>
      <c r="D1175" t="s">
        <v>158</v>
      </c>
      <c r="E1175" t="s">
        <v>2878</v>
      </c>
      <c r="F1175" t="s">
        <v>2879</v>
      </c>
      <c r="G1175" t="s">
        <v>248</v>
      </c>
      <c r="H1175" t="s">
        <v>194</v>
      </c>
      <c r="I1175">
        <v>182</v>
      </c>
      <c r="J1175">
        <v>38</v>
      </c>
      <c r="K1175">
        <v>1</v>
      </c>
      <c r="L1175" t="s">
        <v>142</v>
      </c>
    </row>
    <row r="1176" spans="1:12" x14ac:dyDescent="0.3">
      <c r="A1176" t="s">
        <v>50</v>
      </c>
      <c r="B1176" t="s">
        <v>2180</v>
      </c>
      <c r="C1176">
        <v>6</v>
      </c>
      <c r="D1176" t="s">
        <v>158</v>
      </c>
      <c r="E1176" t="s">
        <v>2880</v>
      </c>
      <c r="F1176" t="s">
        <v>2881</v>
      </c>
      <c r="G1176" t="s">
        <v>266</v>
      </c>
      <c r="H1176" t="s">
        <v>194</v>
      </c>
      <c r="I1176">
        <v>187</v>
      </c>
      <c r="J1176">
        <v>76</v>
      </c>
      <c r="K1176">
        <v>3</v>
      </c>
      <c r="L1176" t="s">
        <v>142</v>
      </c>
    </row>
    <row r="1177" spans="1:12" x14ac:dyDescent="0.3">
      <c r="A1177" t="s">
        <v>50</v>
      </c>
      <c r="B1177" t="s">
        <v>2180</v>
      </c>
      <c r="C1177">
        <v>7</v>
      </c>
      <c r="D1177" t="s">
        <v>158</v>
      </c>
      <c r="E1177" t="s">
        <v>2882</v>
      </c>
      <c r="F1177" t="s">
        <v>2883</v>
      </c>
      <c r="G1177" t="s">
        <v>602</v>
      </c>
      <c r="H1177" t="s">
        <v>288</v>
      </c>
      <c r="I1177">
        <v>167</v>
      </c>
      <c r="J1177">
        <v>37</v>
      </c>
      <c r="K1177">
        <v>5</v>
      </c>
      <c r="L1177" t="s">
        <v>142</v>
      </c>
    </row>
    <row r="1178" spans="1:12" x14ac:dyDescent="0.3">
      <c r="A1178" t="s">
        <v>50</v>
      </c>
      <c r="B1178" t="s">
        <v>2180</v>
      </c>
      <c r="C1178">
        <v>8</v>
      </c>
      <c r="D1178" t="s">
        <v>158</v>
      </c>
      <c r="E1178" t="s">
        <v>2884</v>
      </c>
      <c r="F1178" t="s">
        <v>2659</v>
      </c>
      <c r="G1178" t="s">
        <v>403</v>
      </c>
      <c r="H1178" t="s">
        <v>219</v>
      </c>
      <c r="I1178">
        <v>182</v>
      </c>
      <c r="J1178">
        <v>76</v>
      </c>
      <c r="K1178">
        <v>9</v>
      </c>
      <c r="L1178" t="s">
        <v>142</v>
      </c>
    </row>
    <row r="1179" spans="1:12" x14ac:dyDescent="0.3">
      <c r="A1179" t="s">
        <v>50</v>
      </c>
      <c r="B1179" t="s">
        <v>2180</v>
      </c>
      <c r="C1179">
        <v>9</v>
      </c>
      <c r="D1179" t="s">
        <v>163</v>
      </c>
      <c r="E1179" t="s">
        <v>2885</v>
      </c>
      <c r="F1179" t="s">
        <v>2886</v>
      </c>
      <c r="G1179" t="s">
        <v>1400</v>
      </c>
      <c r="H1179" t="s">
        <v>167</v>
      </c>
      <c r="I1179">
        <v>185</v>
      </c>
      <c r="J1179">
        <v>41</v>
      </c>
      <c r="K1179">
        <v>13</v>
      </c>
      <c r="L1179" t="s">
        <v>142</v>
      </c>
    </row>
    <row r="1180" spans="1:12" x14ac:dyDescent="0.3">
      <c r="A1180" t="s">
        <v>50</v>
      </c>
      <c r="B1180" t="s">
        <v>2180</v>
      </c>
      <c r="C1180">
        <v>10</v>
      </c>
      <c r="D1180" t="s">
        <v>158</v>
      </c>
      <c r="E1180" t="s">
        <v>2887</v>
      </c>
      <c r="F1180" t="s">
        <v>2888</v>
      </c>
      <c r="G1180" t="s">
        <v>602</v>
      </c>
      <c r="H1180" t="s">
        <v>288</v>
      </c>
      <c r="I1180">
        <v>177</v>
      </c>
      <c r="J1180">
        <v>59</v>
      </c>
      <c r="K1180">
        <v>13</v>
      </c>
      <c r="L1180" t="s">
        <v>142</v>
      </c>
    </row>
    <row r="1181" spans="1:12" x14ac:dyDescent="0.3">
      <c r="A1181" t="s">
        <v>50</v>
      </c>
      <c r="B1181" t="s">
        <v>2180</v>
      </c>
      <c r="C1181">
        <v>11</v>
      </c>
      <c r="D1181" t="s">
        <v>163</v>
      </c>
      <c r="E1181" t="s">
        <v>2889</v>
      </c>
      <c r="F1181" t="s">
        <v>2775</v>
      </c>
      <c r="G1181" t="s">
        <v>1001</v>
      </c>
      <c r="H1181" t="s">
        <v>886</v>
      </c>
      <c r="I1181">
        <v>174</v>
      </c>
      <c r="J1181">
        <v>39</v>
      </c>
      <c r="K1181">
        <v>2</v>
      </c>
      <c r="L1181" t="s">
        <v>142</v>
      </c>
    </row>
    <row r="1182" spans="1:12" x14ac:dyDescent="0.3">
      <c r="A1182" t="s">
        <v>50</v>
      </c>
      <c r="B1182" t="s">
        <v>2180</v>
      </c>
      <c r="C1182">
        <v>12</v>
      </c>
      <c r="D1182" t="s">
        <v>137</v>
      </c>
      <c r="E1182" t="s">
        <v>2890</v>
      </c>
      <c r="F1182" t="s">
        <v>2891</v>
      </c>
      <c r="G1182" t="s">
        <v>2892</v>
      </c>
      <c r="H1182" t="s">
        <v>831</v>
      </c>
      <c r="I1182">
        <v>185</v>
      </c>
      <c r="J1182">
        <v>8</v>
      </c>
      <c r="K1182">
        <v>0</v>
      </c>
      <c r="L1182" t="s">
        <v>142</v>
      </c>
    </row>
    <row r="1183" spans="1:12" x14ac:dyDescent="0.3">
      <c r="A1183" t="s">
        <v>50</v>
      </c>
      <c r="B1183" t="s">
        <v>2180</v>
      </c>
      <c r="C1183">
        <v>13</v>
      </c>
      <c r="D1183" t="s">
        <v>143</v>
      </c>
      <c r="E1183" t="s">
        <v>2893</v>
      </c>
      <c r="F1183" t="s">
        <v>2894</v>
      </c>
      <c r="G1183" t="s">
        <v>602</v>
      </c>
      <c r="H1183" t="s">
        <v>288</v>
      </c>
      <c r="I1183">
        <v>174</v>
      </c>
      <c r="J1183">
        <v>30</v>
      </c>
      <c r="K1183">
        <v>0</v>
      </c>
      <c r="L1183" t="s">
        <v>142</v>
      </c>
    </row>
    <row r="1184" spans="1:12" x14ac:dyDescent="0.3">
      <c r="A1184" t="s">
        <v>50</v>
      </c>
      <c r="B1184" t="s">
        <v>2180</v>
      </c>
      <c r="C1184">
        <v>14</v>
      </c>
      <c r="D1184" t="s">
        <v>158</v>
      </c>
      <c r="E1184" t="s">
        <v>2895</v>
      </c>
      <c r="F1184" t="s">
        <v>2896</v>
      </c>
      <c r="G1184" t="s">
        <v>2897</v>
      </c>
      <c r="H1184" t="s">
        <v>288</v>
      </c>
      <c r="I1184">
        <v>176</v>
      </c>
      <c r="J1184">
        <v>17</v>
      </c>
      <c r="K1184">
        <v>2</v>
      </c>
      <c r="L1184" t="s">
        <v>142</v>
      </c>
    </row>
    <row r="1185" spans="1:12" x14ac:dyDescent="0.3">
      <c r="A1185" t="s">
        <v>50</v>
      </c>
      <c r="B1185" t="s">
        <v>2180</v>
      </c>
      <c r="C1185">
        <v>15</v>
      </c>
      <c r="D1185" t="s">
        <v>158</v>
      </c>
      <c r="E1185" t="s">
        <v>2898</v>
      </c>
      <c r="F1185" t="s">
        <v>2541</v>
      </c>
      <c r="G1185" t="s">
        <v>287</v>
      </c>
      <c r="H1185" t="s">
        <v>288</v>
      </c>
      <c r="I1185">
        <v>184</v>
      </c>
      <c r="J1185">
        <v>10</v>
      </c>
      <c r="K1185">
        <v>0</v>
      </c>
      <c r="L1185" t="s">
        <v>142</v>
      </c>
    </row>
    <row r="1186" spans="1:12" x14ac:dyDescent="0.3">
      <c r="A1186" t="s">
        <v>50</v>
      </c>
      <c r="B1186" t="s">
        <v>2180</v>
      </c>
      <c r="C1186">
        <v>16</v>
      </c>
      <c r="D1186" t="s">
        <v>143</v>
      </c>
      <c r="E1186" t="s">
        <v>2899</v>
      </c>
      <c r="F1186" t="s">
        <v>1333</v>
      </c>
      <c r="G1186" t="s">
        <v>472</v>
      </c>
      <c r="H1186" t="s">
        <v>200</v>
      </c>
      <c r="I1186">
        <v>174</v>
      </c>
      <c r="J1186">
        <v>38</v>
      </c>
      <c r="K1186">
        <v>2</v>
      </c>
      <c r="L1186" t="s">
        <v>142</v>
      </c>
    </row>
    <row r="1187" spans="1:12" x14ac:dyDescent="0.3">
      <c r="A1187" t="s">
        <v>50</v>
      </c>
      <c r="B1187" t="s">
        <v>2180</v>
      </c>
      <c r="C1187">
        <v>17</v>
      </c>
      <c r="D1187" t="s">
        <v>143</v>
      </c>
      <c r="E1187" t="s">
        <v>2900</v>
      </c>
      <c r="F1187" t="s">
        <v>2901</v>
      </c>
      <c r="G1187" t="s">
        <v>242</v>
      </c>
      <c r="H1187" t="s">
        <v>230</v>
      </c>
      <c r="I1187">
        <v>180</v>
      </c>
      <c r="J1187">
        <v>44</v>
      </c>
      <c r="K1187">
        <v>1</v>
      </c>
      <c r="L1187" t="s">
        <v>142</v>
      </c>
    </row>
    <row r="1188" spans="1:12" x14ac:dyDescent="0.3">
      <c r="A1188" t="s">
        <v>50</v>
      </c>
      <c r="B1188" t="s">
        <v>2180</v>
      </c>
      <c r="C1188">
        <v>18</v>
      </c>
      <c r="D1188" t="s">
        <v>163</v>
      </c>
      <c r="E1188" t="s">
        <v>2902</v>
      </c>
      <c r="F1188" t="s">
        <v>1572</v>
      </c>
      <c r="G1188" t="s">
        <v>1936</v>
      </c>
      <c r="H1188" t="s">
        <v>831</v>
      </c>
      <c r="I1188">
        <v>175</v>
      </c>
      <c r="J1188">
        <v>36</v>
      </c>
      <c r="K1188">
        <v>4</v>
      </c>
      <c r="L1188" t="s">
        <v>142</v>
      </c>
    </row>
    <row r="1189" spans="1:12" x14ac:dyDescent="0.3">
      <c r="A1189" t="s">
        <v>50</v>
      </c>
      <c r="B1189" t="s">
        <v>2180</v>
      </c>
      <c r="C1189">
        <v>19</v>
      </c>
      <c r="D1189" t="s">
        <v>163</v>
      </c>
      <c r="E1189" t="s">
        <v>2903</v>
      </c>
      <c r="F1189" t="s">
        <v>1270</v>
      </c>
      <c r="G1189" t="s">
        <v>2904</v>
      </c>
      <c r="H1189" t="s">
        <v>831</v>
      </c>
      <c r="I1189">
        <v>182</v>
      </c>
      <c r="J1189">
        <v>11</v>
      </c>
      <c r="K1189">
        <v>3</v>
      </c>
      <c r="L1189" t="s">
        <v>142</v>
      </c>
    </row>
    <row r="1190" spans="1:12" x14ac:dyDescent="0.3">
      <c r="A1190" t="s">
        <v>50</v>
      </c>
      <c r="B1190" t="s">
        <v>2180</v>
      </c>
      <c r="C1190">
        <v>20</v>
      </c>
      <c r="D1190" t="s">
        <v>158</v>
      </c>
      <c r="E1190" t="s">
        <v>2905</v>
      </c>
      <c r="F1190" t="s">
        <v>2906</v>
      </c>
      <c r="G1190" t="s">
        <v>458</v>
      </c>
      <c r="H1190" t="s">
        <v>281</v>
      </c>
      <c r="I1190">
        <v>176</v>
      </c>
      <c r="J1190">
        <v>31</v>
      </c>
      <c r="K1190">
        <v>5</v>
      </c>
      <c r="L1190" t="s">
        <v>142</v>
      </c>
    </row>
    <row r="1191" spans="1:12" x14ac:dyDescent="0.3">
      <c r="A1191" t="s">
        <v>50</v>
      </c>
      <c r="B1191" t="s">
        <v>2180</v>
      </c>
      <c r="C1191">
        <v>21</v>
      </c>
      <c r="D1191" t="s">
        <v>163</v>
      </c>
      <c r="E1191" t="s">
        <v>2907</v>
      </c>
      <c r="F1191" t="s">
        <v>169</v>
      </c>
      <c r="G1191" t="s">
        <v>1281</v>
      </c>
      <c r="H1191" t="s">
        <v>219</v>
      </c>
      <c r="I1191">
        <v>181</v>
      </c>
      <c r="J1191">
        <v>14</v>
      </c>
      <c r="K1191">
        <v>2</v>
      </c>
      <c r="L1191" t="s">
        <v>142</v>
      </c>
    </row>
    <row r="1192" spans="1:12" x14ac:dyDescent="0.3">
      <c r="A1192" t="s">
        <v>50</v>
      </c>
      <c r="B1192" t="s">
        <v>2180</v>
      </c>
      <c r="C1192">
        <v>22</v>
      </c>
      <c r="D1192" t="s">
        <v>158</v>
      </c>
      <c r="E1192" t="s">
        <v>2908</v>
      </c>
      <c r="F1192" t="s">
        <v>2909</v>
      </c>
      <c r="G1192" t="s">
        <v>287</v>
      </c>
      <c r="H1192" t="s">
        <v>288</v>
      </c>
      <c r="I1192">
        <v>185</v>
      </c>
      <c r="J1192">
        <v>19</v>
      </c>
      <c r="K1192">
        <v>0</v>
      </c>
      <c r="L1192" t="s">
        <v>142</v>
      </c>
    </row>
    <row r="1193" spans="1:12" x14ac:dyDescent="0.3">
      <c r="A1193" t="s">
        <v>50</v>
      </c>
      <c r="B1193" t="s">
        <v>2180</v>
      </c>
      <c r="C1193">
        <v>23</v>
      </c>
      <c r="D1193" t="s">
        <v>137</v>
      </c>
      <c r="E1193" t="s">
        <v>2910</v>
      </c>
      <c r="F1193" t="s">
        <v>2911</v>
      </c>
      <c r="G1193" t="s">
        <v>2912</v>
      </c>
      <c r="H1193" t="s">
        <v>230</v>
      </c>
      <c r="I1193">
        <v>190</v>
      </c>
      <c r="J1193">
        <v>137</v>
      </c>
      <c r="K1193">
        <v>0</v>
      </c>
      <c r="L1193" t="s">
        <v>142</v>
      </c>
    </row>
    <row r="1194" spans="1:12" x14ac:dyDescent="0.3">
      <c r="A1194" t="s">
        <v>50</v>
      </c>
      <c r="B1194" t="s">
        <v>2180</v>
      </c>
      <c r="C1194">
        <v>24</v>
      </c>
      <c r="D1194" t="s">
        <v>143</v>
      </c>
      <c r="E1194" t="s">
        <v>2913</v>
      </c>
      <c r="F1194" t="s">
        <v>2914</v>
      </c>
      <c r="G1194" t="s">
        <v>1152</v>
      </c>
      <c r="H1194" t="s">
        <v>194</v>
      </c>
      <c r="I1194">
        <v>191</v>
      </c>
      <c r="J1194">
        <v>8</v>
      </c>
      <c r="K1194">
        <v>0</v>
      </c>
      <c r="L1194" t="s">
        <v>142</v>
      </c>
    </row>
    <row r="1195" spans="1:12" x14ac:dyDescent="0.3">
      <c r="A1195" t="s">
        <v>50</v>
      </c>
      <c r="B1195" t="s">
        <v>2180</v>
      </c>
      <c r="C1195">
        <v>25</v>
      </c>
      <c r="D1195" t="s">
        <v>158</v>
      </c>
      <c r="E1195" t="s">
        <v>2915</v>
      </c>
      <c r="F1195" t="s">
        <v>2916</v>
      </c>
      <c r="G1195" t="s">
        <v>2917</v>
      </c>
      <c r="H1195" t="s">
        <v>25</v>
      </c>
      <c r="I1195">
        <v>170</v>
      </c>
      <c r="J1195">
        <v>8</v>
      </c>
      <c r="K1195">
        <v>1</v>
      </c>
      <c r="L1195" t="s">
        <v>142</v>
      </c>
    </row>
    <row r="1196" spans="1:12" x14ac:dyDescent="0.3">
      <c r="A1196" t="s">
        <v>50</v>
      </c>
      <c r="B1196" t="s">
        <v>2180</v>
      </c>
      <c r="C1196">
        <v>26</v>
      </c>
      <c r="D1196" t="s">
        <v>158</v>
      </c>
      <c r="E1196" t="s">
        <v>2918</v>
      </c>
      <c r="F1196" t="s">
        <v>2919</v>
      </c>
      <c r="G1196" t="s">
        <v>408</v>
      </c>
      <c r="H1196" t="s">
        <v>281</v>
      </c>
      <c r="I1196">
        <v>175</v>
      </c>
      <c r="J1196">
        <v>7</v>
      </c>
      <c r="K1196">
        <v>2</v>
      </c>
      <c r="L1196" t="s">
        <v>142</v>
      </c>
    </row>
    <row r="1197" spans="1:12" x14ac:dyDescent="0.3">
      <c r="A1197" t="s">
        <v>25</v>
      </c>
      <c r="B1197" t="s">
        <v>25</v>
      </c>
      <c r="C1197">
        <v>1</v>
      </c>
      <c r="D1197" t="s">
        <v>137</v>
      </c>
      <c r="E1197" t="s">
        <v>2920</v>
      </c>
      <c r="F1197" t="s">
        <v>924</v>
      </c>
      <c r="G1197" t="s">
        <v>2921</v>
      </c>
      <c r="H1197" t="s">
        <v>25</v>
      </c>
      <c r="I1197">
        <v>190</v>
      </c>
      <c r="J1197">
        <v>55</v>
      </c>
      <c r="K1197">
        <v>0</v>
      </c>
      <c r="L1197" t="s">
        <v>142</v>
      </c>
    </row>
    <row r="1198" spans="1:12" x14ac:dyDescent="0.3">
      <c r="A1198" t="s">
        <v>25</v>
      </c>
      <c r="B1198" t="s">
        <v>25</v>
      </c>
      <c r="C1198">
        <v>2</v>
      </c>
      <c r="D1198" t="s">
        <v>143</v>
      </c>
      <c r="E1198" t="s">
        <v>2922</v>
      </c>
      <c r="F1198" t="s">
        <v>1514</v>
      </c>
      <c r="G1198" t="s">
        <v>447</v>
      </c>
      <c r="H1198" t="s">
        <v>162</v>
      </c>
      <c r="I1198">
        <v>173</v>
      </c>
      <c r="J1198">
        <v>44</v>
      </c>
      <c r="K1198">
        <v>3</v>
      </c>
      <c r="L1198" t="s">
        <v>142</v>
      </c>
    </row>
    <row r="1199" spans="1:12" x14ac:dyDescent="0.3">
      <c r="A1199" t="s">
        <v>25</v>
      </c>
      <c r="B1199" t="s">
        <v>25</v>
      </c>
      <c r="C1199">
        <v>3</v>
      </c>
      <c r="D1199" t="s">
        <v>143</v>
      </c>
      <c r="E1199" t="s">
        <v>2923</v>
      </c>
      <c r="F1199" t="s">
        <v>2924</v>
      </c>
      <c r="G1199" t="s">
        <v>806</v>
      </c>
      <c r="H1199" t="s">
        <v>194</v>
      </c>
      <c r="I1199">
        <v>189</v>
      </c>
      <c r="J1199">
        <v>40</v>
      </c>
      <c r="K1199">
        <v>3</v>
      </c>
      <c r="L1199" t="s">
        <v>142</v>
      </c>
    </row>
    <row r="1200" spans="1:12" x14ac:dyDescent="0.3">
      <c r="A1200" t="s">
        <v>25</v>
      </c>
      <c r="B1200" t="s">
        <v>25</v>
      </c>
      <c r="C1200">
        <v>4</v>
      </c>
      <c r="D1200" t="s">
        <v>158</v>
      </c>
      <c r="E1200" t="s">
        <v>2925</v>
      </c>
      <c r="F1200" t="s">
        <v>2926</v>
      </c>
      <c r="G1200" t="s">
        <v>236</v>
      </c>
      <c r="H1200" t="s">
        <v>194</v>
      </c>
      <c r="I1200">
        <v>175</v>
      </c>
      <c r="J1200">
        <v>58</v>
      </c>
      <c r="K1200">
        <v>2</v>
      </c>
      <c r="L1200" t="s">
        <v>142</v>
      </c>
    </row>
    <row r="1201" spans="1:12" x14ac:dyDescent="0.3">
      <c r="A1201" t="s">
        <v>25</v>
      </c>
      <c r="B1201" t="s">
        <v>25</v>
      </c>
      <c r="C1201">
        <v>5</v>
      </c>
      <c r="D1201" t="s">
        <v>143</v>
      </c>
      <c r="E1201" t="s">
        <v>2927</v>
      </c>
      <c r="F1201" t="s">
        <v>1769</v>
      </c>
      <c r="G1201" t="s">
        <v>504</v>
      </c>
      <c r="H1201" t="s">
        <v>194</v>
      </c>
      <c r="I1201">
        <v>183</v>
      </c>
      <c r="J1201">
        <v>58</v>
      </c>
      <c r="K1201">
        <v>5</v>
      </c>
      <c r="L1201" t="s">
        <v>142</v>
      </c>
    </row>
    <row r="1202" spans="1:12" x14ac:dyDescent="0.3">
      <c r="A1202" t="s">
        <v>25</v>
      </c>
      <c r="B1202" t="s">
        <v>25</v>
      </c>
      <c r="C1202">
        <v>6</v>
      </c>
      <c r="D1202" t="s">
        <v>143</v>
      </c>
      <c r="E1202" t="s">
        <v>2928</v>
      </c>
      <c r="F1202" t="s">
        <v>2929</v>
      </c>
      <c r="G1202" t="s">
        <v>739</v>
      </c>
      <c r="H1202" t="s">
        <v>347</v>
      </c>
      <c r="I1202">
        <v>190</v>
      </c>
      <c r="J1202">
        <v>10</v>
      </c>
      <c r="K1202">
        <v>1</v>
      </c>
      <c r="L1202" t="s">
        <v>142</v>
      </c>
    </row>
    <row r="1203" spans="1:12" x14ac:dyDescent="0.3">
      <c r="A1203" t="s">
        <v>25</v>
      </c>
      <c r="B1203" t="s">
        <v>25</v>
      </c>
      <c r="C1203">
        <v>7</v>
      </c>
      <c r="D1203" t="s">
        <v>158</v>
      </c>
      <c r="E1203" t="s">
        <v>2930</v>
      </c>
      <c r="F1203" t="s">
        <v>2931</v>
      </c>
      <c r="G1203" t="s">
        <v>578</v>
      </c>
      <c r="H1203" t="s">
        <v>177</v>
      </c>
      <c r="I1203">
        <v>187</v>
      </c>
      <c r="J1203">
        <v>43</v>
      </c>
      <c r="K1203">
        <v>10</v>
      </c>
      <c r="L1203" t="s">
        <v>142</v>
      </c>
    </row>
    <row r="1204" spans="1:12" x14ac:dyDescent="0.3">
      <c r="A1204" t="s">
        <v>25</v>
      </c>
      <c r="B1204" t="s">
        <v>25</v>
      </c>
      <c r="C1204">
        <v>8</v>
      </c>
      <c r="D1204" t="s">
        <v>158</v>
      </c>
      <c r="E1204" t="s">
        <v>2932</v>
      </c>
      <c r="F1204" t="s">
        <v>1767</v>
      </c>
      <c r="G1204" t="s">
        <v>623</v>
      </c>
      <c r="H1204" t="s">
        <v>200</v>
      </c>
      <c r="I1204">
        <v>180</v>
      </c>
      <c r="J1204">
        <v>71</v>
      </c>
      <c r="K1204">
        <v>12</v>
      </c>
      <c r="L1204" t="s">
        <v>142</v>
      </c>
    </row>
    <row r="1205" spans="1:12" x14ac:dyDescent="0.3">
      <c r="A1205" t="s">
        <v>25</v>
      </c>
      <c r="B1205" t="s">
        <v>25</v>
      </c>
      <c r="C1205">
        <v>9</v>
      </c>
      <c r="D1205" t="s">
        <v>163</v>
      </c>
      <c r="E1205" t="s">
        <v>2933</v>
      </c>
      <c r="F1205" t="s">
        <v>2934</v>
      </c>
      <c r="G1205" t="s">
        <v>447</v>
      </c>
      <c r="H1205" t="s">
        <v>162</v>
      </c>
      <c r="I1205">
        <v>185</v>
      </c>
      <c r="J1205">
        <v>42</v>
      </c>
      <c r="K1205">
        <v>13</v>
      </c>
      <c r="L1205" t="s">
        <v>142</v>
      </c>
    </row>
    <row r="1206" spans="1:12" x14ac:dyDescent="0.3">
      <c r="A1206" t="s">
        <v>25</v>
      </c>
      <c r="B1206" t="s">
        <v>25</v>
      </c>
      <c r="C1206">
        <v>10</v>
      </c>
      <c r="D1206" t="s">
        <v>163</v>
      </c>
      <c r="E1206" t="s">
        <v>2935</v>
      </c>
      <c r="F1206" t="s">
        <v>2936</v>
      </c>
      <c r="G1206" t="s">
        <v>492</v>
      </c>
      <c r="H1206" t="s">
        <v>200</v>
      </c>
      <c r="I1206">
        <v>177</v>
      </c>
      <c r="J1206">
        <v>90</v>
      </c>
      <c r="K1206">
        <v>33</v>
      </c>
      <c r="L1206" t="s">
        <v>142</v>
      </c>
    </row>
    <row r="1207" spans="1:12" x14ac:dyDescent="0.3">
      <c r="A1207" t="s">
        <v>25</v>
      </c>
      <c r="B1207" t="s">
        <v>25</v>
      </c>
      <c r="C1207">
        <v>11</v>
      </c>
      <c r="D1207" t="s">
        <v>163</v>
      </c>
      <c r="E1207" t="s">
        <v>2937</v>
      </c>
      <c r="F1207" t="s">
        <v>2938</v>
      </c>
      <c r="G1207" t="s">
        <v>1744</v>
      </c>
      <c r="H1207" t="s">
        <v>194</v>
      </c>
      <c r="I1207">
        <v>177</v>
      </c>
      <c r="J1207">
        <v>59</v>
      </c>
      <c r="K1207">
        <v>9</v>
      </c>
      <c r="L1207" t="s">
        <v>142</v>
      </c>
    </row>
    <row r="1208" spans="1:12" x14ac:dyDescent="0.3">
      <c r="A1208" t="s">
        <v>25</v>
      </c>
      <c r="B1208" t="s">
        <v>25</v>
      </c>
      <c r="C1208">
        <v>12</v>
      </c>
      <c r="D1208" t="s">
        <v>143</v>
      </c>
      <c r="E1208" t="s">
        <v>2939</v>
      </c>
      <c r="F1208" t="s">
        <v>2940</v>
      </c>
      <c r="G1208" t="s">
        <v>2941</v>
      </c>
      <c r="H1208" t="s">
        <v>25</v>
      </c>
      <c r="I1208">
        <v>187</v>
      </c>
      <c r="J1208">
        <v>41</v>
      </c>
      <c r="K1208">
        <v>3</v>
      </c>
      <c r="L1208" t="s">
        <v>142</v>
      </c>
    </row>
    <row r="1209" spans="1:12" x14ac:dyDescent="0.3">
      <c r="A1209" t="s">
        <v>25</v>
      </c>
      <c r="B1209" t="s">
        <v>25</v>
      </c>
      <c r="C1209">
        <v>13</v>
      </c>
      <c r="D1209" t="s">
        <v>143</v>
      </c>
      <c r="E1209" t="s">
        <v>2942</v>
      </c>
      <c r="F1209" t="s">
        <v>2943</v>
      </c>
      <c r="G1209" t="s">
        <v>2944</v>
      </c>
      <c r="H1209" t="s">
        <v>25</v>
      </c>
      <c r="I1209">
        <v>186</v>
      </c>
      <c r="J1209">
        <v>86</v>
      </c>
      <c r="K1209">
        <v>1</v>
      </c>
      <c r="L1209" t="s">
        <v>142</v>
      </c>
    </row>
    <row r="1210" spans="1:12" x14ac:dyDescent="0.3">
      <c r="A1210" t="s">
        <v>25</v>
      </c>
      <c r="B1210" t="s">
        <v>25</v>
      </c>
      <c r="C1210">
        <v>14</v>
      </c>
      <c r="D1210" t="s">
        <v>158</v>
      </c>
      <c r="E1210" t="s">
        <v>2945</v>
      </c>
      <c r="F1210" t="s">
        <v>2946</v>
      </c>
      <c r="G1210" t="s">
        <v>2277</v>
      </c>
      <c r="H1210" t="s">
        <v>734</v>
      </c>
      <c r="I1210">
        <v>175</v>
      </c>
      <c r="J1210">
        <v>18</v>
      </c>
      <c r="K1210">
        <v>2</v>
      </c>
      <c r="L1210" t="s">
        <v>142</v>
      </c>
    </row>
    <row r="1211" spans="1:12" x14ac:dyDescent="0.3">
      <c r="A1211" t="s">
        <v>25</v>
      </c>
      <c r="B1211" t="s">
        <v>25</v>
      </c>
      <c r="C1211">
        <v>15</v>
      </c>
      <c r="D1211" t="s">
        <v>158</v>
      </c>
      <c r="E1211" t="s">
        <v>2947</v>
      </c>
      <c r="F1211" t="s">
        <v>2948</v>
      </c>
      <c r="G1211" t="s">
        <v>2949</v>
      </c>
      <c r="H1211" t="s">
        <v>25</v>
      </c>
      <c r="I1211">
        <v>173</v>
      </c>
      <c r="J1211">
        <v>47</v>
      </c>
      <c r="K1211">
        <v>0</v>
      </c>
      <c r="L1211" t="s">
        <v>142</v>
      </c>
    </row>
    <row r="1212" spans="1:12" x14ac:dyDescent="0.3">
      <c r="A1212" t="s">
        <v>25</v>
      </c>
      <c r="B1212" t="s">
        <v>25</v>
      </c>
      <c r="C1212">
        <v>16</v>
      </c>
      <c r="D1212" t="s">
        <v>143</v>
      </c>
      <c r="E1212" t="s">
        <v>2950</v>
      </c>
      <c r="F1212" t="s">
        <v>2951</v>
      </c>
      <c r="G1212" t="s">
        <v>670</v>
      </c>
      <c r="H1212" t="s">
        <v>219</v>
      </c>
      <c r="I1212">
        <v>188</v>
      </c>
      <c r="J1212">
        <v>22</v>
      </c>
      <c r="K1212">
        <v>3</v>
      </c>
      <c r="L1212" t="s">
        <v>142</v>
      </c>
    </row>
    <row r="1213" spans="1:12" x14ac:dyDescent="0.3">
      <c r="A1213" t="s">
        <v>25</v>
      </c>
      <c r="B1213" t="s">
        <v>25</v>
      </c>
      <c r="C1213">
        <v>17</v>
      </c>
      <c r="D1213" t="s">
        <v>158</v>
      </c>
      <c r="E1213" t="s">
        <v>2952</v>
      </c>
      <c r="F1213" t="s">
        <v>2953</v>
      </c>
      <c r="G1213" t="s">
        <v>215</v>
      </c>
      <c r="H1213" t="s">
        <v>177</v>
      </c>
      <c r="I1213">
        <v>187</v>
      </c>
      <c r="J1213">
        <v>35</v>
      </c>
      <c r="K1213">
        <v>5</v>
      </c>
      <c r="L1213" t="s">
        <v>142</v>
      </c>
    </row>
    <row r="1214" spans="1:12" x14ac:dyDescent="0.3">
      <c r="A1214" t="s">
        <v>25</v>
      </c>
      <c r="B1214" t="s">
        <v>25</v>
      </c>
      <c r="C1214">
        <v>18</v>
      </c>
      <c r="D1214" t="s">
        <v>143</v>
      </c>
      <c r="E1214" t="s">
        <v>2954</v>
      </c>
      <c r="F1214" t="s">
        <v>2039</v>
      </c>
      <c r="G1214" t="s">
        <v>719</v>
      </c>
      <c r="H1214" t="s">
        <v>25</v>
      </c>
      <c r="I1214">
        <v>185</v>
      </c>
      <c r="J1214">
        <v>21</v>
      </c>
      <c r="K1214">
        <v>1</v>
      </c>
      <c r="L1214" t="s">
        <v>142</v>
      </c>
    </row>
    <row r="1215" spans="1:12" x14ac:dyDescent="0.3">
      <c r="A1215" t="s">
        <v>25</v>
      </c>
      <c r="B1215" t="s">
        <v>25</v>
      </c>
      <c r="C1215">
        <v>19</v>
      </c>
      <c r="D1215" t="s">
        <v>163</v>
      </c>
      <c r="E1215" t="s">
        <v>2955</v>
      </c>
      <c r="F1215" t="s">
        <v>2956</v>
      </c>
      <c r="G1215" t="s">
        <v>1488</v>
      </c>
      <c r="H1215" t="s">
        <v>194</v>
      </c>
      <c r="I1215">
        <v>191</v>
      </c>
      <c r="J1215">
        <v>22</v>
      </c>
      <c r="K1215">
        <v>7</v>
      </c>
      <c r="L1215" t="s">
        <v>142</v>
      </c>
    </row>
    <row r="1216" spans="1:12" x14ac:dyDescent="0.3">
      <c r="A1216" t="s">
        <v>25</v>
      </c>
      <c r="B1216" t="s">
        <v>25</v>
      </c>
      <c r="C1216">
        <v>20</v>
      </c>
      <c r="D1216" t="s">
        <v>163</v>
      </c>
      <c r="E1216" t="s">
        <v>2957</v>
      </c>
      <c r="F1216" t="s">
        <v>792</v>
      </c>
      <c r="G1216" t="s">
        <v>971</v>
      </c>
      <c r="H1216" t="s">
        <v>147</v>
      </c>
      <c r="I1216">
        <v>179</v>
      </c>
      <c r="J1216">
        <v>31</v>
      </c>
      <c r="K1216">
        <v>12</v>
      </c>
      <c r="L1216" t="s">
        <v>142</v>
      </c>
    </row>
    <row r="1217" spans="1:12" x14ac:dyDescent="0.3">
      <c r="A1217" t="s">
        <v>25</v>
      </c>
      <c r="B1217" t="s">
        <v>25</v>
      </c>
      <c r="C1217">
        <v>21</v>
      </c>
      <c r="D1217" t="s">
        <v>163</v>
      </c>
      <c r="E1217" t="s">
        <v>2958</v>
      </c>
      <c r="F1217" t="s">
        <v>2959</v>
      </c>
      <c r="G1217" t="s">
        <v>173</v>
      </c>
      <c r="H1217" t="s">
        <v>147</v>
      </c>
      <c r="I1217">
        <v>183</v>
      </c>
      <c r="J1217">
        <v>53</v>
      </c>
      <c r="K1217">
        <v>7</v>
      </c>
      <c r="L1217" t="s">
        <v>142</v>
      </c>
    </row>
    <row r="1218" spans="1:12" x14ac:dyDescent="0.3">
      <c r="A1218" t="s">
        <v>25</v>
      </c>
      <c r="B1218" t="s">
        <v>25</v>
      </c>
      <c r="C1218">
        <v>22</v>
      </c>
      <c r="D1218" t="s">
        <v>143</v>
      </c>
      <c r="E1218" t="s">
        <v>2960</v>
      </c>
      <c r="F1218" t="s">
        <v>2096</v>
      </c>
      <c r="G1218" t="s">
        <v>2961</v>
      </c>
      <c r="H1218" t="s">
        <v>147</v>
      </c>
      <c r="I1218">
        <v>186</v>
      </c>
      <c r="J1218">
        <v>30</v>
      </c>
      <c r="K1218">
        <v>0</v>
      </c>
      <c r="L1218" t="s">
        <v>142</v>
      </c>
    </row>
    <row r="1219" spans="1:12" x14ac:dyDescent="0.3">
      <c r="A1219" t="s">
        <v>25</v>
      </c>
      <c r="B1219" t="s">
        <v>25</v>
      </c>
      <c r="C1219">
        <v>23</v>
      </c>
      <c r="D1219" t="s">
        <v>143</v>
      </c>
      <c r="E1219" t="s">
        <v>2962</v>
      </c>
      <c r="F1219" t="s">
        <v>2963</v>
      </c>
      <c r="G1219" t="s">
        <v>578</v>
      </c>
      <c r="H1219" t="s">
        <v>177</v>
      </c>
      <c r="I1219">
        <v>184</v>
      </c>
      <c r="J1219">
        <v>28</v>
      </c>
      <c r="K1219">
        <v>0</v>
      </c>
      <c r="L1219" t="s">
        <v>142</v>
      </c>
    </row>
    <row r="1220" spans="1:12" x14ac:dyDescent="0.3">
      <c r="A1220" t="s">
        <v>25</v>
      </c>
      <c r="B1220" t="s">
        <v>25</v>
      </c>
      <c r="C1220">
        <v>24</v>
      </c>
      <c r="D1220" t="s">
        <v>137</v>
      </c>
      <c r="E1220" t="s">
        <v>2964</v>
      </c>
      <c r="F1220" t="s">
        <v>2965</v>
      </c>
      <c r="G1220" t="s">
        <v>343</v>
      </c>
      <c r="H1220" t="s">
        <v>25</v>
      </c>
      <c r="I1220">
        <v>198</v>
      </c>
      <c r="J1220">
        <v>19</v>
      </c>
      <c r="K1220">
        <v>0</v>
      </c>
      <c r="L1220" t="s">
        <v>142</v>
      </c>
    </row>
    <row r="1221" spans="1:12" x14ac:dyDescent="0.3">
      <c r="A1221" t="s">
        <v>25</v>
      </c>
      <c r="B1221" t="s">
        <v>25</v>
      </c>
      <c r="C1221">
        <v>25</v>
      </c>
      <c r="D1221" t="s">
        <v>137</v>
      </c>
      <c r="E1221" t="s">
        <v>2966</v>
      </c>
      <c r="F1221" t="s">
        <v>2967</v>
      </c>
      <c r="G1221" t="s">
        <v>748</v>
      </c>
      <c r="H1221" t="s">
        <v>25</v>
      </c>
      <c r="I1221">
        <v>193</v>
      </c>
      <c r="J1221">
        <v>1</v>
      </c>
      <c r="K1221">
        <v>0</v>
      </c>
      <c r="L1221" t="s">
        <v>142</v>
      </c>
    </row>
    <row r="1222" spans="1:12" x14ac:dyDescent="0.3">
      <c r="A1222" t="s">
        <v>25</v>
      </c>
      <c r="B1222" t="s">
        <v>25</v>
      </c>
      <c r="C1222">
        <v>26</v>
      </c>
      <c r="D1222" t="s">
        <v>163</v>
      </c>
      <c r="E1222" t="s">
        <v>2968</v>
      </c>
      <c r="F1222" t="s">
        <v>2969</v>
      </c>
      <c r="G1222" t="s">
        <v>1936</v>
      </c>
      <c r="H1222" t="s">
        <v>831</v>
      </c>
      <c r="I1222">
        <v>167</v>
      </c>
      <c r="J1222">
        <v>15</v>
      </c>
      <c r="K1222">
        <v>2</v>
      </c>
      <c r="L1222" t="s">
        <v>142</v>
      </c>
    </row>
    <row r="1223" spans="1:12" x14ac:dyDescent="0.3">
      <c r="A1223" t="s">
        <v>70</v>
      </c>
      <c r="B1223" t="s">
        <v>1674</v>
      </c>
      <c r="C1223">
        <v>1</v>
      </c>
      <c r="D1223" t="s">
        <v>137</v>
      </c>
      <c r="E1223" t="s">
        <v>2970</v>
      </c>
      <c r="F1223" t="s">
        <v>2971</v>
      </c>
      <c r="G1223" t="s">
        <v>2972</v>
      </c>
      <c r="H1223" t="s">
        <v>1674</v>
      </c>
      <c r="I1223">
        <v>185</v>
      </c>
      <c r="J1223">
        <v>46</v>
      </c>
      <c r="K1223">
        <v>0</v>
      </c>
      <c r="L1223" t="s">
        <v>142</v>
      </c>
    </row>
    <row r="1224" spans="1:12" x14ac:dyDescent="0.3">
      <c r="A1224" t="s">
        <v>70</v>
      </c>
      <c r="B1224" t="s">
        <v>1674</v>
      </c>
      <c r="C1224">
        <v>2</v>
      </c>
      <c r="D1224" t="s">
        <v>143</v>
      </c>
      <c r="E1224" t="s">
        <v>2973</v>
      </c>
      <c r="F1224" t="s">
        <v>2974</v>
      </c>
      <c r="G1224" t="s">
        <v>193</v>
      </c>
      <c r="H1224" t="s">
        <v>194</v>
      </c>
      <c r="I1224">
        <v>186</v>
      </c>
      <c r="J1224">
        <v>30</v>
      </c>
      <c r="K1224">
        <v>0</v>
      </c>
      <c r="L1224" t="s">
        <v>142</v>
      </c>
    </row>
    <row r="1225" spans="1:12" x14ac:dyDescent="0.3">
      <c r="A1225" t="s">
        <v>70</v>
      </c>
      <c r="B1225" t="s">
        <v>1674</v>
      </c>
      <c r="C1225">
        <v>3</v>
      </c>
      <c r="D1225" t="s">
        <v>143</v>
      </c>
      <c r="E1225" t="s">
        <v>2975</v>
      </c>
      <c r="F1225" t="s">
        <v>2976</v>
      </c>
      <c r="G1225" t="s">
        <v>1673</v>
      </c>
      <c r="H1225" t="s">
        <v>1674</v>
      </c>
      <c r="I1225">
        <v>180</v>
      </c>
      <c r="J1225">
        <v>54</v>
      </c>
      <c r="K1225">
        <v>3</v>
      </c>
      <c r="L1225" t="s">
        <v>142</v>
      </c>
    </row>
    <row r="1226" spans="1:12" x14ac:dyDescent="0.3">
      <c r="A1226" t="s">
        <v>70</v>
      </c>
      <c r="B1226" t="s">
        <v>1674</v>
      </c>
      <c r="C1226">
        <v>4</v>
      </c>
      <c r="D1226" t="s">
        <v>143</v>
      </c>
      <c r="E1226" t="s">
        <v>2977</v>
      </c>
      <c r="F1226" t="s">
        <v>2978</v>
      </c>
      <c r="G1226" t="s">
        <v>2979</v>
      </c>
      <c r="H1226" t="s">
        <v>1674</v>
      </c>
      <c r="I1226">
        <v>183</v>
      </c>
      <c r="J1226">
        <v>72</v>
      </c>
      <c r="K1226">
        <v>1</v>
      </c>
      <c r="L1226" t="s">
        <v>142</v>
      </c>
    </row>
    <row r="1227" spans="1:12" x14ac:dyDescent="0.3">
      <c r="A1227" t="s">
        <v>70</v>
      </c>
      <c r="B1227" t="s">
        <v>1674</v>
      </c>
      <c r="C1227">
        <v>5</v>
      </c>
      <c r="D1227" t="s">
        <v>143</v>
      </c>
      <c r="E1227" t="s">
        <v>2980</v>
      </c>
      <c r="F1227" t="s">
        <v>2981</v>
      </c>
      <c r="G1227" t="s">
        <v>1551</v>
      </c>
      <c r="H1227" t="s">
        <v>1552</v>
      </c>
      <c r="I1227">
        <v>186</v>
      </c>
      <c r="J1227">
        <v>54</v>
      </c>
      <c r="K1227">
        <v>1</v>
      </c>
      <c r="L1227" t="s">
        <v>142</v>
      </c>
    </row>
    <row r="1228" spans="1:12" x14ac:dyDescent="0.3">
      <c r="A1228" t="s">
        <v>70</v>
      </c>
      <c r="B1228" t="s">
        <v>1674</v>
      </c>
      <c r="C1228">
        <v>6</v>
      </c>
      <c r="D1228" t="s">
        <v>158</v>
      </c>
      <c r="E1228" t="s">
        <v>2982</v>
      </c>
      <c r="F1228" t="s">
        <v>2983</v>
      </c>
      <c r="G1228" t="s">
        <v>1673</v>
      </c>
      <c r="H1228" t="s">
        <v>1674</v>
      </c>
      <c r="I1228">
        <v>180</v>
      </c>
      <c r="J1228">
        <v>28</v>
      </c>
      <c r="K1228">
        <v>1</v>
      </c>
      <c r="L1228" t="s">
        <v>142</v>
      </c>
    </row>
    <row r="1229" spans="1:12" x14ac:dyDescent="0.3">
      <c r="A1229" t="s">
        <v>70</v>
      </c>
      <c r="B1229" t="s">
        <v>1674</v>
      </c>
      <c r="C1229">
        <v>7</v>
      </c>
      <c r="D1229" t="s">
        <v>158</v>
      </c>
      <c r="E1229" t="s">
        <v>2984</v>
      </c>
      <c r="F1229" t="s">
        <v>2627</v>
      </c>
      <c r="G1229" t="s">
        <v>2985</v>
      </c>
      <c r="H1229" t="s">
        <v>663</v>
      </c>
      <c r="I1229">
        <v>183</v>
      </c>
      <c r="J1229">
        <v>93</v>
      </c>
      <c r="K1229">
        <v>10</v>
      </c>
      <c r="L1229" t="s">
        <v>142</v>
      </c>
    </row>
    <row r="1230" spans="1:12" x14ac:dyDescent="0.3">
      <c r="A1230" t="s">
        <v>70</v>
      </c>
      <c r="B1230" t="s">
        <v>1674</v>
      </c>
      <c r="C1230">
        <v>8</v>
      </c>
      <c r="D1230" t="s">
        <v>158</v>
      </c>
      <c r="E1230" t="s">
        <v>2986</v>
      </c>
      <c r="F1230" t="s">
        <v>2987</v>
      </c>
      <c r="G1230" t="s">
        <v>2979</v>
      </c>
      <c r="H1230" t="s">
        <v>1674</v>
      </c>
      <c r="I1230">
        <v>171</v>
      </c>
      <c r="J1230">
        <v>47</v>
      </c>
      <c r="K1230">
        <v>4</v>
      </c>
      <c r="L1230" t="s">
        <v>142</v>
      </c>
    </row>
    <row r="1231" spans="1:12" x14ac:dyDescent="0.3">
      <c r="A1231" t="s">
        <v>70</v>
      </c>
      <c r="B1231" t="s">
        <v>1674</v>
      </c>
      <c r="C1231">
        <v>9</v>
      </c>
      <c r="D1231" t="s">
        <v>158</v>
      </c>
      <c r="E1231" t="s">
        <v>2988</v>
      </c>
      <c r="F1231" t="s">
        <v>2989</v>
      </c>
      <c r="G1231" t="s">
        <v>1600</v>
      </c>
      <c r="H1231" t="s">
        <v>1552</v>
      </c>
      <c r="I1231">
        <v>180</v>
      </c>
      <c r="J1231">
        <v>78</v>
      </c>
      <c r="K1231">
        <v>1</v>
      </c>
      <c r="L1231" t="s">
        <v>142</v>
      </c>
    </row>
    <row r="1232" spans="1:12" x14ac:dyDescent="0.3">
      <c r="A1232" t="s">
        <v>70</v>
      </c>
      <c r="B1232" t="s">
        <v>1674</v>
      </c>
      <c r="C1232">
        <v>10</v>
      </c>
      <c r="D1232" t="s">
        <v>158</v>
      </c>
      <c r="E1232" t="s">
        <v>2990</v>
      </c>
      <c r="F1232" t="s">
        <v>2991</v>
      </c>
      <c r="G1232" t="s">
        <v>2972</v>
      </c>
      <c r="H1232" t="s">
        <v>1674</v>
      </c>
      <c r="I1232">
        <v>176</v>
      </c>
      <c r="J1232">
        <v>9</v>
      </c>
      <c r="K1232">
        <v>1</v>
      </c>
      <c r="L1232" t="s">
        <v>142</v>
      </c>
    </row>
    <row r="1233" spans="1:12" x14ac:dyDescent="0.3">
      <c r="A1233" t="s">
        <v>70</v>
      </c>
      <c r="B1233" t="s">
        <v>1674</v>
      </c>
      <c r="C1233">
        <v>11</v>
      </c>
      <c r="D1233" t="s">
        <v>158</v>
      </c>
      <c r="E1233" t="s">
        <v>2992</v>
      </c>
      <c r="F1233" t="s">
        <v>2993</v>
      </c>
      <c r="G1233" t="s">
        <v>1610</v>
      </c>
      <c r="H1233" t="s">
        <v>1552</v>
      </c>
      <c r="I1233">
        <v>181</v>
      </c>
      <c r="J1233">
        <v>47</v>
      </c>
      <c r="K1233">
        <v>10</v>
      </c>
      <c r="L1233" t="s">
        <v>142</v>
      </c>
    </row>
    <row r="1234" spans="1:12" x14ac:dyDescent="0.3">
      <c r="A1234" t="s">
        <v>70</v>
      </c>
      <c r="B1234" t="s">
        <v>1674</v>
      </c>
      <c r="C1234">
        <v>12</v>
      </c>
      <c r="D1234" t="s">
        <v>137</v>
      </c>
      <c r="E1234" t="s">
        <v>2994</v>
      </c>
      <c r="F1234" t="s">
        <v>2995</v>
      </c>
      <c r="G1234" t="s">
        <v>2996</v>
      </c>
      <c r="H1234" t="s">
        <v>1674</v>
      </c>
      <c r="I1234">
        <v>182</v>
      </c>
      <c r="J1234">
        <v>17</v>
      </c>
      <c r="K1234">
        <v>0</v>
      </c>
      <c r="L1234" t="s">
        <v>142</v>
      </c>
    </row>
    <row r="1235" spans="1:12" x14ac:dyDescent="0.3">
      <c r="A1235" t="s">
        <v>70</v>
      </c>
      <c r="B1235" t="s">
        <v>1674</v>
      </c>
      <c r="C1235">
        <v>13</v>
      </c>
      <c r="D1235" t="s">
        <v>143</v>
      </c>
      <c r="E1235" t="s">
        <v>2997</v>
      </c>
      <c r="F1235" t="s">
        <v>2998</v>
      </c>
      <c r="G1235" t="s">
        <v>1673</v>
      </c>
      <c r="H1235" t="s">
        <v>1674</v>
      </c>
      <c r="I1235">
        <v>183</v>
      </c>
      <c r="J1235">
        <v>43</v>
      </c>
      <c r="K1235">
        <v>2</v>
      </c>
      <c r="L1235" t="s">
        <v>142</v>
      </c>
    </row>
    <row r="1236" spans="1:12" x14ac:dyDescent="0.3">
      <c r="A1236" t="s">
        <v>70</v>
      </c>
      <c r="B1236" t="s">
        <v>1674</v>
      </c>
      <c r="C1236">
        <v>14</v>
      </c>
      <c r="D1236" t="s">
        <v>163</v>
      </c>
      <c r="E1236" t="s">
        <v>2999</v>
      </c>
      <c r="F1236" t="s">
        <v>3000</v>
      </c>
      <c r="G1236" t="s">
        <v>716</v>
      </c>
      <c r="H1236" t="s">
        <v>523</v>
      </c>
      <c r="I1236">
        <v>190</v>
      </c>
      <c r="J1236">
        <v>96</v>
      </c>
      <c r="K1236">
        <v>45</v>
      </c>
      <c r="L1236" t="s">
        <v>142</v>
      </c>
    </row>
    <row r="1237" spans="1:12" x14ac:dyDescent="0.3">
      <c r="A1237" t="s">
        <v>70</v>
      </c>
      <c r="B1237" t="s">
        <v>1674</v>
      </c>
      <c r="C1237">
        <v>15</v>
      </c>
      <c r="D1237" t="s">
        <v>143</v>
      </c>
      <c r="E1237" t="s">
        <v>3001</v>
      </c>
      <c r="F1237" t="s">
        <v>3002</v>
      </c>
      <c r="G1237" t="s">
        <v>2996</v>
      </c>
      <c r="H1237" t="s">
        <v>1674</v>
      </c>
      <c r="I1237">
        <v>185</v>
      </c>
      <c r="J1237">
        <v>40</v>
      </c>
      <c r="K1237">
        <v>0</v>
      </c>
      <c r="L1237" t="s">
        <v>142</v>
      </c>
    </row>
    <row r="1238" spans="1:12" x14ac:dyDescent="0.3">
      <c r="A1238" t="s">
        <v>70</v>
      </c>
      <c r="B1238" t="s">
        <v>1674</v>
      </c>
      <c r="C1238">
        <v>16</v>
      </c>
      <c r="D1238" t="s">
        <v>137</v>
      </c>
      <c r="E1238" t="s">
        <v>3003</v>
      </c>
      <c r="F1238" t="s">
        <v>3004</v>
      </c>
      <c r="G1238" t="s">
        <v>2979</v>
      </c>
      <c r="H1238" t="s">
        <v>1674</v>
      </c>
      <c r="I1238">
        <v>189</v>
      </c>
      <c r="J1238">
        <v>5</v>
      </c>
      <c r="K1238">
        <v>0</v>
      </c>
      <c r="L1238" t="s">
        <v>142</v>
      </c>
    </row>
    <row r="1239" spans="1:12" x14ac:dyDescent="0.3">
      <c r="A1239" t="s">
        <v>70</v>
      </c>
      <c r="B1239" t="s">
        <v>1674</v>
      </c>
      <c r="C1239">
        <v>17</v>
      </c>
      <c r="D1239" t="s">
        <v>158</v>
      </c>
      <c r="E1239" t="s">
        <v>3005</v>
      </c>
      <c r="F1239" t="s">
        <v>3006</v>
      </c>
      <c r="G1239" t="s">
        <v>1673</v>
      </c>
      <c r="H1239" t="s">
        <v>1674</v>
      </c>
      <c r="I1239">
        <v>178</v>
      </c>
      <c r="J1239">
        <v>39</v>
      </c>
      <c r="K1239">
        <v>5</v>
      </c>
      <c r="L1239" t="s">
        <v>142</v>
      </c>
    </row>
    <row r="1240" spans="1:12" x14ac:dyDescent="0.3">
      <c r="A1240" t="s">
        <v>70</v>
      </c>
      <c r="B1240" t="s">
        <v>1674</v>
      </c>
      <c r="C1240">
        <v>18</v>
      </c>
      <c r="D1240" t="s">
        <v>143</v>
      </c>
      <c r="E1240" t="s">
        <v>3007</v>
      </c>
      <c r="F1240" t="s">
        <v>3008</v>
      </c>
      <c r="G1240" t="s">
        <v>1690</v>
      </c>
      <c r="H1240" t="s">
        <v>663</v>
      </c>
      <c r="I1240">
        <v>181</v>
      </c>
      <c r="J1240">
        <v>31</v>
      </c>
      <c r="K1240">
        <v>0</v>
      </c>
      <c r="L1240" t="s">
        <v>142</v>
      </c>
    </row>
    <row r="1241" spans="1:12" x14ac:dyDescent="0.3">
      <c r="A1241" t="s">
        <v>70</v>
      </c>
      <c r="B1241" t="s">
        <v>1674</v>
      </c>
      <c r="C1241">
        <v>19</v>
      </c>
      <c r="D1241" t="s">
        <v>158</v>
      </c>
      <c r="E1241" t="s">
        <v>3009</v>
      </c>
      <c r="F1241" t="s">
        <v>3010</v>
      </c>
      <c r="G1241" t="s">
        <v>662</v>
      </c>
      <c r="H1241" t="s">
        <v>663</v>
      </c>
      <c r="I1241">
        <v>178</v>
      </c>
      <c r="J1241">
        <v>26</v>
      </c>
      <c r="K1241">
        <v>0</v>
      </c>
      <c r="L1241" t="s">
        <v>142</v>
      </c>
    </row>
    <row r="1242" spans="1:12" x14ac:dyDescent="0.3">
      <c r="A1242" t="s">
        <v>70</v>
      </c>
      <c r="B1242" t="s">
        <v>1674</v>
      </c>
      <c r="C1242">
        <v>20</v>
      </c>
      <c r="D1242" t="s">
        <v>163</v>
      </c>
      <c r="E1242" t="s">
        <v>3011</v>
      </c>
      <c r="F1242" t="s">
        <v>3012</v>
      </c>
      <c r="G1242" t="s">
        <v>3013</v>
      </c>
      <c r="H1242" t="s">
        <v>1674</v>
      </c>
      <c r="I1242">
        <v>181</v>
      </c>
      <c r="J1242">
        <v>14</v>
      </c>
      <c r="K1242">
        <v>2</v>
      </c>
      <c r="L1242" t="s">
        <v>142</v>
      </c>
    </row>
    <row r="1243" spans="1:12" x14ac:dyDescent="0.3">
      <c r="A1243" t="s">
        <v>70</v>
      </c>
      <c r="B1243" t="s">
        <v>1674</v>
      </c>
      <c r="C1243">
        <v>21</v>
      </c>
      <c r="D1243" t="s">
        <v>163</v>
      </c>
      <c r="E1243" t="s">
        <v>3014</v>
      </c>
      <c r="F1243" t="s">
        <v>3015</v>
      </c>
      <c r="G1243" t="s">
        <v>1610</v>
      </c>
      <c r="H1243" t="s">
        <v>1552</v>
      </c>
      <c r="I1243">
        <v>185</v>
      </c>
      <c r="J1243">
        <v>88</v>
      </c>
      <c r="K1243">
        <v>25</v>
      </c>
      <c r="L1243" t="s">
        <v>142</v>
      </c>
    </row>
    <row r="1244" spans="1:12" x14ac:dyDescent="0.3">
      <c r="A1244" t="s">
        <v>70</v>
      </c>
      <c r="B1244" t="s">
        <v>1674</v>
      </c>
      <c r="C1244">
        <v>22</v>
      </c>
      <c r="D1244" t="s">
        <v>158</v>
      </c>
      <c r="E1244" t="s">
        <v>3016</v>
      </c>
      <c r="F1244" t="s">
        <v>3017</v>
      </c>
      <c r="G1244" t="s">
        <v>716</v>
      </c>
      <c r="H1244" t="s">
        <v>523</v>
      </c>
      <c r="I1244">
        <v>167</v>
      </c>
      <c r="J1244">
        <v>35</v>
      </c>
      <c r="K1244">
        <v>9</v>
      </c>
      <c r="L1244" t="s">
        <v>142</v>
      </c>
    </row>
    <row r="1245" spans="1:12" x14ac:dyDescent="0.3">
      <c r="A1245" t="s">
        <v>70</v>
      </c>
      <c r="B1245" t="s">
        <v>1674</v>
      </c>
      <c r="C1245">
        <v>23</v>
      </c>
      <c r="D1245" t="s">
        <v>158</v>
      </c>
      <c r="E1245" t="s">
        <v>3018</v>
      </c>
      <c r="F1245" t="s">
        <v>3019</v>
      </c>
      <c r="G1245" t="s">
        <v>3020</v>
      </c>
      <c r="H1245" t="s">
        <v>1674</v>
      </c>
      <c r="I1245">
        <v>190</v>
      </c>
      <c r="J1245">
        <v>2</v>
      </c>
      <c r="K1245">
        <v>0</v>
      </c>
      <c r="L1245" t="s">
        <v>142</v>
      </c>
    </row>
    <row r="1246" spans="1:12" x14ac:dyDescent="0.3">
      <c r="A1246" t="s">
        <v>70</v>
      </c>
      <c r="B1246" t="s">
        <v>1674</v>
      </c>
      <c r="C1246">
        <v>24</v>
      </c>
      <c r="D1246" t="s">
        <v>143</v>
      </c>
      <c r="E1246" t="s">
        <v>3021</v>
      </c>
      <c r="F1246" t="s">
        <v>3022</v>
      </c>
      <c r="G1246" t="s">
        <v>3023</v>
      </c>
      <c r="H1246" t="s">
        <v>1674</v>
      </c>
      <c r="I1246">
        <v>172</v>
      </c>
      <c r="J1246">
        <v>4</v>
      </c>
      <c r="K1246">
        <v>0</v>
      </c>
      <c r="L1246" t="s">
        <v>142</v>
      </c>
    </row>
    <row r="1247" spans="1:12" x14ac:dyDescent="0.3">
      <c r="A1247" t="s">
        <v>70</v>
      </c>
      <c r="B1247" t="s">
        <v>1674</v>
      </c>
      <c r="C1247">
        <v>25</v>
      </c>
      <c r="D1247" t="s">
        <v>143</v>
      </c>
      <c r="E1247" t="s">
        <v>3024</v>
      </c>
      <c r="F1247" t="s">
        <v>3025</v>
      </c>
      <c r="G1247" t="s">
        <v>3026</v>
      </c>
      <c r="H1247" t="s">
        <v>1674</v>
      </c>
      <c r="I1247">
        <v>187</v>
      </c>
      <c r="J1247">
        <v>0</v>
      </c>
      <c r="K1247">
        <v>0</v>
      </c>
      <c r="L1247" t="s">
        <v>142</v>
      </c>
    </row>
    <row r="1248" spans="1:12" x14ac:dyDescent="0.3">
      <c r="A1248" t="s">
        <v>70</v>
      </c>
      <c r="B1248" t="s">
        <v>1674</v>
      </c>
      <c r="C1248">
        <v>26</v>
      </c>
      <c r="D1248" t="s">
        <v>143</v>
      </c>
      <c r="E1248" t="s">
        <v>3027</v>
      </c>
      <c r="F1248" t="s">
        <v>3028</v>
      </c>
      <c r="G1248" t="s">
        <v>3013</v>
      </c>
      <c r="H1248" t="s">
        <v>1674</v>
      </c>
      <c r="I1248">
        <v>190</v>
      </c>
      <c r="J1248">
        <v>6</v>
      </c>
      <c r="K1248">
        <v>1</v>
      </c>
      <c r="L1248" t="s">
        <v>142</v>
      </c>
    </row>
  </sheetData>
  <autoFilter ref="A1:L1248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4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4" customWidth="1"/>
    <col min="2" max="2" width="12" customWidth="1"/>
    <col min="3" max="4" width="14" customWidth="1"/>
    <col min="5" max="6" width="19" customWidth="1"/>
    <col min="7" max="7" width="21" customWidth="1"/>
    <col min="8" max="8" width="19" customWidth="1"/>
  </cols>
  <sheetData>
    <row r="1" spans="1:8" ht="31.95" customHeight="1" x14ac:dyDescent="0.3">
      <c r="A1" s="1" t="s">
        <v>3029</v>
      </c>
      <c r="B1" s="1" t="s">
        <v>125</v>
      </c>
      <c r="C1" s="1" t="s">
        <v>3030</v>
      </c>
      <c r="D1" s="1" t="s">
        <v>3031</v>
      </c>
      <c r="E1" s="1" t="s">
        <v>3032</v>
      </c>
      <c r="F1" s="1" t="s">
        <v>3033</v>
      </c>
      <c r="G1" s="1" t="s">
        <v>3034</v>
      </c>
      <c r="H1" s="1" t="s">
        <v>3035</v>
      </c>
    </row>
    <row r="2" spans="1:8" x14ac:dyDescent="0.3">
      <c r="A2" t="s">
        <v>60</v>
      </c>
      <c r="B2" t="s">
        <v>136</v>
      </c>
      <c r="C2">
        <v>26</v>
      </c>
      <c r="D2">
        <v>32.307699999999997</v>
      </c>
      <c r="E2">
        <v>4.8461999999999996</v>
      </c>
      <c r="F2">
        <v>182.65379999999999</v>
      </c>
      <c r="G2">
        <v>23</v>
      </c>
      <c r="H2">
        <v>0.88460000000000005</v>
      </c>
    </row>
    <row r="3" spans="1:8" x14ac:dyDescent="0.3">
      <c r="A3" t="s">
        <v>59</v>
      </c>
      <c r="B3" t="s">
        <v>230</v>
      </c>
      <c r="C3">
        <v>26</v>
      </c>
      <c r="D3">
        <v>53.115400000000001</v>
      </c>
      <c r="E3">
        <v>9.2691999999999997</v>
      </c>
      <c r="F3">
        <v>179.57689999999999</v>
      </c>
      <c r="G3">
        <v>24</v>
      </c>
      <c r="H3">
        <v>0.92310000000000003</v>
      </c>
    </row>
    <row r="4" spans="1:8" x14ac:dyDescent="0.3">
      <c r="A4" t="s">
        <v>34</v>
      </c>
      <c r="B4" t="s">
        <v>301</v>
      </c>
      <c r="C4">
        <v>26</v>
      </c>
      <c r="D4">
        <v>30.692299999999999</v>
      </c>
      <c r="E4">
        <v>2.8845999999999998</v>
      </c>
      <c r="F4">
        <v>183.57689999999999</v>
      </c>
      <c r="G4">
        <v>21</v>
      </c>
      <c r="H4">
        <v>0.80769999999999997</v>
      </c>
    </row>
    <row r="5" spans="1:8" x14ac:dyDescent="0.3">
      <c r="A5" t="s">
        <v>61</v>
      </c>
      <c r="B5" t="s">
        <v>315</v>
      </c>
      <c r="C5">
        <v>26</v>
      </c>
      <c r="D5">
        <v>41.076900000000002</v>
      </c>
      <c r="E5">
        <v>5.9230999999999998</v>
      </c>
      <c r="F5">
        <v>184.9615</v>
      </c>
      <c r="G5">
        <v>23</v>
      </c>
      <c r="H5">
        <v>0.88460000000000005</v>
      </c>
    </row>
    <row r="6" spans="1:8" x14ac:dyDescent="0.3">
      <c r="A6" t="s">
        <v>47</v>
      </c>
      <c r="B6" t="s">
        <v>223</v>
      </c>
      <c r="C6">
        <v>26</v>
      </c>
      <c r="D6">
        <v>45.461500000000001</v>
      </c>
      <c r="E6">
        <v>8.7308000000000003</v>
      </c>
      <c r="F6">
        <v>185.80770000000001</v>
      </c>
      <c r="G6">
        <v>23</v>
      </c>
      <c r="H6">
        <v>0.88460000000000005</v>
      </c>
    </row>
    <row r="7" spans="1:8" x14ac:dyDescent="0.3">
      <c r="A7" t="s">
        <v>23</v>
      </c>
      <c r="B7" t="s">
        <v>517</v>
      </c>
      <c r="C7">
        <v>26</v>
      </c>
      <c r="D7">
        <v>25.423100000000002</v>
      </c>
      <c r="E7">
        <v>3.7307999999999999</v>
      </c>
      <c r="F7">
        <v>187.07689999999999</v>
      </c>
      <c r="G7">
        <v>25</v>
      </c>
      <c r="H7">
        <v>0.96150000000000002</v>
      </c>
    </row>
    <row r="8" spans="1:8" x14ac:dyDescent="0.3">
      <c r="A8" t="s">
        <v>29</v>
      </c>
      <c r="B8" t="s">
        <v>288</v>
      </c>
      <c r="C8">
        <v>26</v>
      </c>
      <c r="D8">
        <v>38.230800000000002</v>
      </c>
      <c r="E8">
        <v>6.2308000000000003</v>
      </c>
      <c r="F8">
        <v>183.11539999999999</v>
      </c>
      <c r="G8">
        <v>19</v>
      </c>
      <c r="H8">
        <v>0.73080000000000001</v>
      </c>
    </row>
    <row r="9" spans="1:8" x14ac:dyDescent="0.3">
      <c r="A9" t="s">
        <v>46</v>
      </c>
      <c r="B9" t="s">
        <v>653</v>
      </c>
      <c r="C9">
        <v>26</v>
      </c>
      <c r="D9">
        <v>34.230800000000002</v>
      </c>
      <c r="E9">
        <v>3.0385</v>
      </c>
      <c r="F9">
        <v>181.34620000000001</v>
      </c>
      <c r="G9">
        <v>26</v>
      </c>
      <c r="H9">
        <v>1</v>
      </c>
    </row>
    <row r="10" spans="1:8" x14ac:dyDescent="0.3">
      <c r="A10" t="s">
        <v>22</v>
      </c>
      <c r="B10" t="s">
        <v>734</v>
      </c>
      <c r="C10">
        <v>26</v>
      </c>
      <c r="D10">
        <v>39.884599999999999</v>
      </c>
      <c r="E10">
        <v>5.4230999999999998</v>
      </c>
      <c r="F10">
        <v>182.30770000000001</v>
      </c>
      <c r="G10">
        <v>24</v>
      </c>
      <c r="H10">
        <v>0.92310000000000003</v>
      </c>
    </row>
    <row r="11" spans="1:8" x14ac:dyDescent="0.3">
      <c r="A11" t="s">
        <v>71</v>
      </c>
      <c r="B11" t="s">
        <v>800</v>
      </c>
      <c r="C11">
        <v>26</v>
      </c>
      <c r="D11">
        <v>43.076900000000002</v>
      </c>
      <c r="E11">
        <v>4.3461999999999996</v>
      </c>
      <c r="F11">
        <v>180</v>
      </c>
      <c r="G11">
        <v>25</v>
      </c>
      <c r="H11">
        <v>0.96150000000000002</v>
      </c>
    </row>
    <row r="12" spans="1:8" x14ac:dyDescent="0.3">
      <c r="A12" t="s">
        <v>64</v>
      </c>
      <c r="B12" t="s">
        <v>870</v>
      </c>
      <c r="C12">
        <v>26</v>
      </c>
      <c r="D12">
        <v>32.846200000000003</v>
      </c>
      <c r="E12">
        <v>3.2692000000000001</v>
      </c>
      <c r="F12">
        <v>181</v>
      </c>
      <c r="G12">
        <v>26</v>
      </c>
      <c r="H12">
        <v>1</v>
      </c>
    </row>
    <row r="13" spans="1:8" x14ac:dyDescent="0.3">
      <c r="A13" t="s">
        <v>66</v>
      </c>
      <c r="B13" t="s">
        <v>573</v>
      </c>
      <c r="C13">
        <v>26</v>
      </c>
      <c r="D13">
        <v>47</v>
      </c>
      <c r="E13">
        <v>6.1154000000000002</v>
      </c>
      <c r="F13">
        <v>184.76920000000001</v>
      </c>
      <c r="G13">
        <v>24</v>
      </c>
      <c r="H13">
        <v>0.92310000000000003</v>
      </c>
    </row>
    <row r="14" spans="1:8" x14ac:dyDescent="0.3">
      <c r="A14" t="s">
        <v>37</v>
      </c>
      <c r="B14" t="s">
        <v>1067</v>
      </c>
      <c r="C14">
        <v>26</v>
      </c>
      <c r="D14">
        <v>25.6538</v>
      </c>
      <c r="E14">
        <v>2.8077000000000001</v>
      </c>
      <c r="F14">
        <v>181.92310000000001</v>
      </c>
      <c r="G14">
        <v>26</v>
      </c>
      <c r="H14">
        <v>1</v>
      </c>
    </row>
    <row r="15" spans="1:8" x14ac:dyDescent="0.3">
      <c r="A15" t="s">
        <v>21</v>
      </c>
      <c r="B15" t="s">
        <v>415</v>
      </c>
      <c r="C15">
        <v>26</v>
      </c>
      <c r="D15">
        <v>29.615400000000001</v>
      </c>
      <c r="E15">
        <v>3.8462000000000001</v>
      </c>
      <c r="F15">
        <v>185.73079999999999</v>
      </c>
      <c r="G15">
        <v>9</v>
      </c>
      <c r="H15">
        <v>0.34620000000000001</v>
      </c>
    </row>
    <row r="16" spans="1:8" x14ac:dyDescent="0.3">
      <c r="A16" t="s">
        <v>40</v>
      </c>
      <c r="B16" t="s">
        <v>945</v>
      </c>
      <c r="C16">
        <v>26</v>
      </c>
      <c r="D16">
        <v>29.615400000000001</v>
      </c>
      <c r="E16">
        <v>3.3462000000000001</v>
      </c>
      <c r="F16">
        <v>182.92310000000001</v>
      </c>
      <c r="G16">
        <v>26</v>
      </c>
      <c r="H16">
        <v>1</v>
      </c>
    </row>
    <row r="17" spans="1:8" x14ac:dyDescent="0.3">
      <c r="A17" t="s">
        <v>41</v>
      </c>
      <c r="B17" t="s">
        <v>1192</v>
      </c>
      <c r="C17">
        <v>26</v>
      </c>
      <c r="D17">
        <v>32</v>
      </c>
      <c r="E17">
        <v>3.6922999999999999</v>
      </c>
      <c r="F17">
        <v>180.5385</v>
      </c>
      <c r="G17">
        <v>24</v>
      </c>
      <c r="H17">
        <v>0.92310000000000003</v>
      </c>
    </row>
    <row r="18" spans="1:8" x14ac:dyDescent="0.3">
      <c r="A18" t="s">
        <v>48</v>
      </c>
      <c r="B18" t="s">
        <v>926</v>
      </c>
      <c r="C18">
        <v>26</v>
      </c>
      <c r="D18">
        <v>35.038499999999999</v>
      </c>
      <c r="E18">
        <v>5.2308000000000003</v>
      </c>
      <c r="F18">
        <v>181.19229999999999</v>
      </c>
      <c r="G18">
        <v>9</v>
      </c>
      <c r="H18">
        <v>0.34620000000000001</v>
      </c>
    </row>
    <row r="19" spans="1:8" x14ac:dyDescent="0.3">
      <c r="A19" t="s">
        <v>65</v>
      </c>
      <c r="B19" t="s">
        <v>194</v>
      </c>
      <c r="C19">
        <v>26</v>
      </c>
      <c r="D19">
        <v>37.076900000000002</v>
      </c>
      <c r="E19">
        <v>6.5</v>
      </c>
      <c r="F19">
        <v>184.61539999999999</v>
      </c>
      <c r="G19">
        <v>5</v>
      </c>
      <c r="H19">
        <v>0.1923</v>
      </c>
    </row>
    <row r="20" spans="1:8" x14ac:dyDescent="0.3">
      <c r="A20" t="s">
        <v>54</v>
      </c>
      <c r="B20" t="s">
        <v>147</v>
      </c>
      <c r="C20">
        <v>26</v>
      </c>
      <c r="D20">
        <v>35.538499999999999</v>
      </c>
      <c r="E20">
        <v>4.6154000000000002</v>
      </c>
      <c r="F20">
        <v>184.92310000000001</v>
      </c>
      <c r="G20">
        <v>18</v>
      </c>
      <c r="H20">
        <v>0.69230000000000003</v>
      </c>
    </row>
    <row r="21" spans="1:8" x14ac:dyDescent="0.3">
      <c r="A21" t="s">
        <v>36</v>
      </c>
      <c r="B21" t="s">
        <v>177</v>
      </c>
      <c r="C21">
        <v>26</v>
      </c>
      <c r="D21">
        <v>34.961500000000001</v>
      </c>
      <c r="E21">
        <v>4.4615</v>
      </c>
      <c r="F21">
        <v>186.19229999999999</v>
      </c>
      <c r="G21">
        <v>7</v>
      </c>
      <c r="H21">
        <v>0.26919999999999999</v>
      </c>
    </row>
    <row r="22" spans="1:8" x14ac:dyDescent="0.3">
      <c r="A22" t="s">
        <v>67</v>
      </c>
      <c r="B22" t="s">
        <v>1465</v>
      </c>
      <c r="C22">
        <v>26</v>
      </c>
      <c r="D22">
        <v>24.307700000000001</v>
      </c>
      <c r="E22">
        <v>2.6922999999999999</v>
      </c>
      <c r="F22">
        <v>182.61539999999999</v>
      </c>
      <c r="G22">
        <v>25</v>
      </c>
      <c r="H22">
        <v>0.96150000000000002</v>
      </c>
    </row>
    <row r="23" spans="1:8" x14ac:dyDescent="0.3">
      <c r="A23" t="s">
        <v>32</v>
      </c>
      <c r="B23" t="s">
        <v>1527</v>
      </c>
      <c r="C23">
        <v>26</v>
      </c>
      <c r="D23">
        <v>25.961500000000001</v>
      </c>
      <c r="E23">
        <v>4.4615</v>
      </c>
      <c r="F23">
        <v>181.57689999999999</v>
      </c>
      <c r="G23">
        <v>25</v>
      </c>
      <c r="H23">
        <v>0.96150000000000002</v>
      </c>
    </row>
    <row r="24" spans="1:8" x14ac:dyDescent="0.3">
      <c r="A24" t="s">
        <v>52</v>
      </c>
      <c r="B24" t="s">
        <v>1552</v>
      </c>
      <c r="C24">
        <v>26</v>
      </c>
      <c r="D24">
        <v>46.961500000000001</v>
      </c>
      <c r="E24">
        <v>5.8076999999999996</v>
      </c>
      <c r="F24">
        <v>183.65379999999999</v>
      </c>
      <c r="G24">
        <v>9</v>
      </c>
      <c r="H24">
        <v>0.34620000000000001</v>
      </c>
    </row>
    <row r="25" spans="1:8" x14ac:dyDescent="0.3">
      <c r="A25" t="s">
        <v>56</v>
      </c>
      <c r="B25" t="s">
        <v>1660</v>
      </c>
      <c r="C25">
        <v>26</v>
      </c>
      <c r="D25">
        <v>33.730800000000002</v>
      </c>
      <c r="E25">
        <v>3.4230999999999998</v>
      </c>
      <c r="F25">
        <v>183.0385</v>
      </c>
      <c r="G25">
        <v>16</v>
      </c>
      <c r="H25">
        <v>0.61539999999999995</v>
      </c>
    </row>
    <row r="26" spans="1:8" x14ac:dyDescent="0.3">
      <c r="A26" t="s">
        <v>39</v>
      </c>
      <c r="B26" t="s">
        <v>321</v>
      </c>
      <c r="C26">
        <v>26</v>
      </c>
      <c r="D26">
        <v>33.5</v>
      </c>
      <c r="E26">
        <v>4.6538000000000004</v>
      </c>
      <c r="F26">
        <v>181.61539999999999</v>
      </c>
      <c r="G26">
        <v>23</v>
      </c>
      <c r="H26">
        <v>0.88460000000000005</v>
      </c>
    </row>
    <row r="27" spans="1:8" x14ac:dyDescent="0.3">
      <c r="A27" t="s">
        <v>62</v>
      </c>
      <c r="B27" t="s">
        <v>1784</v>
      </c>
      <c r="C27">
        <v>26</v>
      </c>
      <c r="D27">
        <v>42.730800000000002</v>
      </c>
      <c r="E27">
        <v>3.5769000000000002</v>
      </c>
      <c r="F27">
        <v>180.30770000000001</v>
      </c>
      <c r="G27">
        <v>14</v>
      </c>
      <c r="H27">
        <v>0.53849999999999998</v>
      </c>
    </row>
    <row r="28" spans="1:8" x14ac:dyDescent="0.3">
      <c r="A28" t="s">
        <v>20</v>
      </c>
      <c r="B28" t="s">
        <v>1797</v>
      </c>
      <c r="C28">
        <v>26</v>
      </c>
      <c r="D28">
        <v>38.692300000000003</v>
      </c>
      <c r="E28">
        <v>5.5385</v>
      </c>
      <c r="F28">
        <v>181.92310000000001</v>
      </c>
      <c r="G28">
        <v>19</v>
      </c>
      <c r="H28">
        <v>0.73080000000000001</v>
      </c>
    </row>
    <row r="29" spans="1:8" x14ac:dyDescent="0.3">
      <c r="A29" t="s">
        <v>15</v>
      </c>
      <c r="B29" t="s">
        <v>831</v>
      </c>
      <c r="C29">
        <v>26</v>
      </c>
      <c r="D29">
        <v>50.038499999999999</v>
      </c>
      <c r="E29">
        <v>4.8845999999999998</v>
      </c>
      <c r="F29">
        <v>179.5</v>
      </c>
      <c r="G29">
        <v>14</v>
      </c>
      <c r="H29">
        <v>0.53849999999999998</v>
      </c>
    </row>
    <row r="30" spans="1:8" x14ac:dyDescent="0.3">
      <c r="A30" t="s">
        <v>30</v>
      </c>
      <c r="B30" t="s">
        <v>1803</v>
      </c>
      <c r="C30">
        <v>26</v>
      </c>
      <c r="D30">
        <v>30.8462</v>
      </c>
      <c r="E30">
        <v>4.1923000000000004</v>
      </c>
      <c r="F30">
        <v>182.38460000000001</v>
      </c>
      <c r="G30">
        <v>24</v>
      </c>
      <c r="H30">
        <v>0.92310000000000003</v>
      </c>
    </row>
    <row r="31" spans="1:8" x14ac:dyDescent="0.3">
      <c r="A31" t="s">
        <v>38</v>
      </c>
      <c r="B31" t="s">
        <v>162</v>
      </c>
      <c r="C31">
        <v>26</v>
      </c>
      <c r="D31">
        <v>35.615400000000001</v>
      </c>
      <c r="E31">
        <v>6.2691999999999997</v>
      </c>
      <c r="F31">
        <v>185.15379999999999</v>
      </c>
      <c r="G31">
        <v>24</v>
      </c>
      <c r="H31">
        <v>0.92310000000000003</v>
      </c>
    </row>
    <row r="32" spans="1:8" x14ac:dyDescent="0.3">
      <c r="A32" t="s">
        <v>53</v>
      </c>
      <c r="B32" t="s">
        <v>2061</v>
      </c>
      <c r="C32">
        <v>26</v>
      </c>
      <c r="D32">
        <v>33.846200000000003</v>
      </c>
      <c r="E32">
        <v>4.2308000000000003</v>
      </c>
      <c r="F32">
        <v>183.07689999999999</v>
      </c>
      <c r="G32">
        <v>17</v>
      </c>
      <c r="H32">
        <v>0.65380000000000005</v>
      </c>
    </row>
    <row r="33" spans="1:8" x14ac:dyDescent="0.3">
      <c r="A33" t="s">
        <v>57</v>
      </c>
      <c r="B33" t="s">
        <v>1715</v>
      </c>
      <c r="C33">
        <v>26</v>
      </c>
      <c r="D33">
        <v>34.423099999999998</v>
      </c>
      <c r="E33">
        <v>5.1154000000000002</v>
      </c>
      <c r="F33">
        <v>187.15379999999999</v>
      </c>
      <c r="G33">
        <v>22</v>
      </c>
      <c r="H33">
        <v>0.84619999999999995</v>
      </c>
    </row>
    <row r="34" spans="1:8" x14ac:dyDescent="0.3">
      <c r="A34" t="s">
        <v>68</v>
      </c>
      <c r="B34" t="s">
        <v>2176</v>
      </c>
      <c r="C34">
        <v>26</v>
      </c>
      <c r="D34">
        <v>61.038499999999999</v>
      </c>
      <c r="E34">
        <v>4.8845999999999998</v>
      </c>
      <c r="F34">
        <v>181.57689999999999</v>
      </c>
      <c r="G34">
        <v>24</v>
      </c>
      <c r="H34">
        <v>0.92310000000000003</v>
      </c>
    </row>
    <row r="35" spans="1:8" x14ac:dyDescent="0.3">
      <c r="A35" t="s">
        <v>26</v>
      </c>
      <c r="B35" t="s">
        <v>2245</v>
      </c>
      <c r="C35">
        <v>26</v>
      </c>
      <c r="D35">
        <v>29.576899999999998</v>
      </c>
      <c r="E35">
        <v>2.1537999999999999</v>
      </c>
      <c r="F35">
        <v>181.61539999999999</v>
      </c>
      <c r="G35">
        <v>23</v>
      </c>
      <c r="H35">
        <v>0.88460000000000005</v>
      </c>
    </row>
    <row r="36" spans="1:8" x14ac:dyDescent="0.3">
      <c r="A36" t="s">
        <v>63</v>
      </c>
      <c r="B36" t="s">
        <v>281</v>
      </c>
      <c r="C36">
        <v>26</v>
      </c>
      <c r="D36">
        <v>47.692300000000003</v>
      </c>
      <c r="E36">
        <v>10.2308</v>
      </c>
      <c r="F36">
        <v>181.5</v>
      </c>
      <c r="G36">
        <v>21</v>
      </c>
      <c r="H36">
        <v>0.80769999999999997</v>
      </c>
    </row>
    <row r="37" spans="1:8" x14ac:dyDescent="0.3">
      <c r="A37" t="s">
        <v>27</v>
      </c>
      <c r="B37" t="s">
        <v>209</v>
      </c>
      <c r="C37">
        <v>26</v>
      </c>
      <c r="D37">
        <v>62.230800000000002</v>
      </c>
      <c r="E37">
        <v>8.3461999999999996</v>
      </c>
      <c r="F37">
        <v>179.38460000000001</v>
      </c>
      <c r="G37">
        <v>1</v>
      </c>
      <c r="H37">
        <v>3.85E-2</v>
      </c>
    </row>
    <row r="38" spans="1:8" x14ac:dyDescent="0.3">
      <c r="A38" t="s">
        <v>49</v>
      </c>
      <c r="B38" t="s">
        <v>167</v>
      </c>
      <c r="C38">
        <v>26</v>
      </c>
      <c r="D38">
        <v>37.5</v>
      </c>
      <c r="E38">
        <v>3.7307999999999999</v>
      </c>
      <c r="F38">
        <v>178.42310000000001</v>
      </c>
      <c r="G38">
        <v>1</v>
      </c>
      <c r="H38">
        <v>3.85E-2</v>
      </c>
    </row>
    <row r="39" spans="1:8" x14ac:dyDescent="0.3">
      <c r="A39" t="s">
        <v>33</v>
      </c>
      <c r="B39" t="s">
        <v>347</v>
      </c>
      <c r="C39">
        <v>26</v>
      </c>
      <c r="D39">
        <v>39.269199999999998</v>
      </c>
      <c r="E39">
        <v>3.8077000000000001</v>
      </c>
      <c r="F39">
        <v>184.4615</v>
      </c>
      <c r="G39">
        <v>18</v>
      </c>
      <c r="H39">
        <v>0.69230000000000003</v>
      </c>
    </row>
    <row r="40" spans="1:8" x14ac:dyDescent="0.3">
      <c r="A40" t="s">
        <v>55</v>
      </c>
      <c r="B40" t="s">
        <v>2514</v>
      </c>
      <c r="C40">
        <v>26</v>
      </c>
      <c r="D40">
        <v>41.576900000000002</v>
      </c>
      <c r="E40">
        <v>5.4230999999999998</v>
      </c>
      <c r="F40">
        <v>183.9615</v>
      </c>
      <c r="G40">
        <v>26</v>
      </c>
      <c r="H40">
        <v>1</v>
      </c>
    </row>
    <row r="41" spans="1:8" x14ac:dyDescent="0.3">
      <c r="A41" t="s">
        <v>16</v>
      </c>
      <c r="B41" t="s">
        <v>2565</v>
      </c>
      <c r="C41">
        <v>25</v>
      </c>
      <c r="D41">
        <v>22.76</v>
      </c>
      <c r="E41">
        <v>2.64</v>
      </c>
      <c r="F41">
        <v>178.92</v>
      </c>
      <c r="G41">
        <v>7</v>
      </c>
      <c r="H41">
        <v>0.28000000000000003</v>
      </c>
    </row>
    <row r="42" spans="1:8" x14ac:dyDescent="0.3">
      <c r="A42" t="s">
        <v>45</v>
      </c>
      <c r="B42" t="s">
        <v>219</v>
      </c>
      <c r="C42">
        <v>26</v>
      </c>
      <c r="D42">
        <v>33.423099999999998</v>
      </c>
      <c r="E42">
        <v>5</v>
      </c>
      <c r="F42">
        <v>181.73079999999999</v>
      </c>
      <c r="G42">
        <v>9</v>
      </c>
      <c r="H42">
        <v>0.34620000000000001</v>
      </c>
    </row>
    <row r="43" spans="1:8" x14ac:dyDescent="0.3">
      <c r="A43" t="s">
        <v>43</v>
      </c>
      <c r="B43" t="s">
        <v>2664</v>
      </c>
      <c r="C43">
        <v>26</v>
      </c>
      <c r="D43">
        <v>22.269200000000001</v>
      </c>
      <c r="E43">
        <v>2.7692000000000001</v>
      </c>
      <c r="F43">
        <v>186.19229999999999</v>
      </c>
      <c r="G43">
        <v>23</v>
      </c>
      <c r="H43">
        <v>0.88460000000000005</v>
      </c>
    </row>
    <row r="44" spans="1:8" x14ac:dyDescent="0.3">
      <c r="A44" t="s">
        <v>28</v>
      </c>
      <c r="B44" t="s">
        <v>141</v>
      </c>
      <c r="C44">
        <v>26</v>
      </c>
      <c r="D44">
        <v>47.307699999999997</v>
      </c>
      <c r="E44">
        <v>5.1538000000000004</v>
      </c>
      <c r="F44">
        <v>185.23079999999999</v>
      </c>
      <c r="G44">
        <v>24</v>
      </c>
      <c r="H44">
        <v>0.92310000000000003</v>
      </c>
    </row>
    <row r="45" spans="1:8" x14ac:dyDescent="0.3">
      <c r="A45" t="s">
        <v>44</v>
      </c>
      <c r="B45" t="s">
        <v>154</v>
      </c>
      <c r="C45">
        <v>26</v>
      </c>
      <c r="D45">
        <v>24.1538</v>
      </c>
      <c r="E45">
        <v>1.7307999999999999</v>
      </c>
      <c r="F45">
        <v>184.57689999999999</v>
      </c>
      <c r="G45">
        <v>20</v>
      </c>
      <c r="H45">
        <v>0.76919999999999999</v>
      </c>
    </row>
    <row r="46" spans="1:8" x14ac:dyDescent="0.3">
      <c r="A46" t="s">
        <v>35</v>
      </c>
      <c r="B46" t="s">
        <v>523</v>
      </c>
      <c r="C46">
        <v>26</v>
      </c>
      <c r="D46">
        <v>39.269199999999998</v>
      </c>
      <c r="E46">
        <v>3.8462000000000001</v>
      </c>
      <c r="F46">
        <v>183.76920000000001</v>
      </c>
      <c r="G46">
        <v>11</v>
      </c>
      <c r="H46">
        <v>0.42309999999999998</v>
      </c>
    </row>
    <row r="47" spans="1:8" x14ac:dyDescent="0.3">
      <c r="A47" t="s">
        <v>25</v>
      </c>
      <c r="B47" t="s">
        <v>25</v>
      </c>
      <c r="C47">
        <v>26</v>
      </c>
      <c r="D47">
        <v>39.961500000000001</v>
      </c>
      <c r="E47">
        <v>5.1538000000000004</v>
      </c>
      <c r="F47">
        <v>183.38460000000001</v>
      </c>
      <c r="G47">
        <v>19</v>
      </c>
      <c r="H47">
        <v>0.73080000000000001</v>
      </c>
    </row>
    <row r="48" spans="1:8" x14ac:dyDescent="0.3">
      <c r="A48" t="s">
        <v>50</v>
      </c>
      <c r="B48" t="s">
        <v>2180</v>
      </c>
      <c r="C48">
        <v>26</v>
      </c>
      <c r="D48">
        <v>37.384599999999999</v>
      </c>
      <c r="E48">
        <v>2.9615</v>
      </c>
      <c r="F48">
        <v>180.4615</v>
      </c>
      <c r="G48">
        <v>26</v>
      </c>
      <c r="H48">
        <v>1</v>
      </c>
    </row>
    <row r="49" spans="1:8" x14ac:dyDescent="0.3">
      <c r="A49" t="s">
        <v>70</v>
      </c>
      <c r="B49" t="s">
        <v>1674</v>
      </c>
      <c r="C49">
        <v>26</v>
      </c>
      <c r="D49">
        <v>38.615400000000001</v>
      </c>
      <c r="E49">
        <v>4.6538000000000004</v>
      </c>
      <c r="F49">
        <v>181.88460000000001</v>
      </c>
      <c r="G49">
        <v>10</v>
      </c>
      <c r="H49">
        <v>0.3846</v>
      </c>
    </row>
  </sheetData>
  <autoFilter ref="A1:H49" xr:uid="{00000000-0009-0000-0000-000006000000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1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0" customWidth="1"/>
  </cols>
  <sheetData>
    <row r="1" spans="1:1" ht="31.95" customHeight="1" x14ac:dyDescent="0.3">
      <c r="A1" s="1" t="s">
        <v>3036</v>
      </c>
    </row>
    <row r="2" spans="1:1" ht="34.049999999999997" customHeight="1" x14ac:dyDescent="0.3">
      <c r="A2" s="2" t="s">
        <v>3037</v>
      </c>
    </row>
    <row r="3" spans="1:1" ht="34.049999999999997" customHeight="1" x14ac:dyDescent="0.3">
      <c r="A3" s="2" t="s">
        <v>3038</v>
      </c>
    </row>
    <row r="4" spans="1:1" ht="34.049999999999997" customHeight="1" x14ac:dyDescent="0.3">
      <c r="A4" s="2" t="s">
        <v>3039</v>
      </c>
    </row>
    <row r="5" spans="1:1" ht="34.049999999999997" customHeight="1" x14ac:dyDescent="0.3">
      <c r="A5" s="2" t="s">
        <v>3040</v>
      </c>
    </row>
    <row r="6" spans="1:1" ht="34.049999999999997" customHeight="1" x14ac:dyDescent="0.3">
      <c r="A6" s="2" t="s">
        <v>3041</v>
      </c>
    </row>
    <row r="7" spans="1:1" ht="34.049999999999997" customHeight="1" x14ac:dyDescent="0.3">
      <c r="A7" s="2" t="s">
        <v>3042</v>
      </c>
    </row>
    <row r="8" spans="1:1" ht="34.049999999999997" customHeight="1" x14ac:dyDescent="0.3">
      <c r="A8" s="2" t="s">
        <v>3043</v>
      </c>
    </row>
    <row r="9" spans="1:1" ht="34.049999999999997" customHeight="1" x14ac:dyDescent="0.3">
      <c r="A9" s="2" t="s">
        <v>3044</v>
      </c>
    </row>
    <row r="10" spans="1:1" ht="34.049999999999997" customHeight="1" x14ac:dyDescent="0.3">
      <c r="A10" s="2" t="s">
        <v>3045</v>
      </c>
    </row>
  </sheetData>
  <autoFilter ref="A1:A10" xr:uid="{00000000-0009-0000-0000-000007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Team_Match_208</vt:lpstr>
      <vt:lpstr>Read_Me</vt:lpstr>
      <vt:lpstr>Original_104_Matches</vt:lpstr>
      <vt:lpstr>Parsed_Source_Results</vt:lpstr>
      <vt:lpstr>Model_Ready_208</vt:lpstr>
      <vt:lpstr>Squad_Player_Data</vt:lpstr>
      <vt:lpstr>Squad_Team_Summary</vt:lpstr>
      <vt:lpstr>Squad_Method_Notes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yadav</cp:lastModifiedBy>
  <dcterms:created xsi:type="dcterms:W3CDTF">2026-10-04T13:06:37Z</dcterms:created>
  <dcterms:modified xsi:type="dcterms:W3CDTF">2026-10-04T14:34:30Z</dcterms:modified>
</cp:coreProperties>
</file>